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User\Desktop\"/>
    </mc:Choice>
  </mc:AlternateContent>
  <bookViews>
    <workbookView xWindow="0" yWindow="0" windowWidth="19200" windowHeight="8390" activeTab="1"/>
  </bookViews>
  <sheets>
    <sheet name="Dashboard" sheetId="1" r:id="rId1"/>
    <sheet name="Data" sheetId="2" r:id="rId2"/>
    <sheet name="PivotTables" sheetId="3" r:id="rId3"/>
  </sheets>
  <definedNames>
    <definedName name="Slicer_Department">#N/A</definedName>
    <definedName name="Slicer_Gender">#N/A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1" i="3" l="1"/>
  <c r="K17" i="3"/>
  <c r="S14" i="3"/>
  <c r="P12" i="3"/>
  <c r="K15" i="3"/>
  <c r="S16" i="3"/>
  <c r="P13" i="3"/>
  <c r="Y13" i="3"/>
  <c r="G14" i="3"/>
  <c r="K16" i="3"/>
  <c r="H13" i="3"/>
  <c r="V16" i="3"/>
  <c r="Y15" i="3"/>
  <c r="Y16" i="3"/>
  <c r="Y14" i="3"/>
  <c r="V13" i="3"/>
  <c r="K13" i="3"/>
  <c r="S17" i="3"/>
  <c r="P11" i="3"/>
  <c r="G13" i="3"/>
  <c r="S15" i="3"/>
  <c r="G16" i="3"/>
  <c r="H17" i="3"/>
  <c r="G15" i="3"/>
  <c r="K14" i="3"/>
  <c r="V14" i="3"/>
  <c r="H15" i="3"/>
  <c r="H14" i="3"/>
  <c r="C12" i="3"/>
  <c r="C11" i="3"/>
  <c r="C13" i="3"/>
  <c r="G17" i="3"/>
  <c r="H16" i="3"/>
  <c r="V15" i="3"/>
  <c r="Y17" i="3"/>
  <c r="V17" i="3"/>
  <c r="S13" i="3"/>
  <c r="K22" i="3"/>
  <c r="L22" i="3" l="1"/>
  <c r="M22" i="3" s="1"/>
  <c r="C14" i="3"/>
  <c r="G18" i="3"/>
  <c r="P14" i="3"/>
  <c r="O16" i="3" s="1"/>
  <c r="P16" i="3" s="1"/>
  <c r="K18" i="3"/>
  <c r="V18" i="3"/>
  <c r="H18" i="3"/>
  <c r="Y18" i="3"/>
  <c r="K23" i="3"/>
  <c r="L21" i="3"/>
  <c r="M21" i="3" s="1"/>
  <c r="O17" i="3" l="1"/>
  <c r="P17" i="3" s="1"/>
  <c r="O18" i="3"/>
  <c r="P18" i="3" s="1"/>
</calcChain>
</file>

<file path=xl/sharedStrings.xml><?xml version="1.0" encoding="utf-8"?>
<sst xmlns="http://schemas.openxmlformats.org/spreadsheetml/2006/main" count="825" uniqueCount="180">
  <si>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</si>
  <si>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</si>
  <si>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</si>
  <si>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</si>
  <si>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</si>
  <si>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</si>
  <si>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</si>
  <si>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</si>
  <si>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</si>
  <si>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</si>
  <si>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</si>
  <si>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</si>
  <si>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</si>
  <si>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</si>
  <si>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</si>
  <si>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Manager</t>
  </si>
  <si>
    <t>Finance</t>
  </si>
  <si>
    <t>Imran Qureshi</t>
  </si>
  <si>
    <t>Full-Time</t>
  </si>
  <si>
    <t>Head Office</t>
  </si>
  <si>
    <t>C</t>
  </si>
  <si>
    <t>Health</t>
  </si>
  <si>
    <t>Leadership Training</t>
  </si>
  <si>
    <t>Design</t>
  </si>
  <si>
    <t>Certified Professional</t>
  </si>
  <si>
    <t>Designer</t>
  </si>
  <si>
    <t>HR</t>
  </si>
  <si>
    <t>Nadia Sheikh</t>
  </si>
  <si>
    <t>Branch Office</t>
  </si>
  <si>
    <t>B</t>
  </si>
  <si>
    <t>None</t>
  </si>
  <si>
    <t>Excel Workshop</t>
  </si>
  <si>
    <t>HR Specialist</t>
  </si>
  <si>
    <t>Marketing</t>
  </si>
  <si>
    <t>Kamran Malik</t>
  </si>
  <si>
    <t>Remote</t>
  </si>
  <si>
    <t>D</t>
  </si>
  <si>
    <t>Management</t>
  </si>
  <si>
    <t>Advanced Training</t>
  </si>
  <si>
    <t>Operations</t>
  </si>
  <si>
    <t>Sara Mahmood</t>
  </si>
  <si>
    <t>Contract</t>
  </si>
  <si>
    <t>A</t>
  </si>
  <si>
    <t>Health + Dental</t>
  </si>
  <si>
    <t>Python</t>
  </si>
  <si>
    <t>Faisal Hussain</t>
  </si>
  <si>
    <t>Developer</t>
  </si>
  <si>
    <t>Hina Farooq</t>
  </si>
  <si>
    <t>Communication</t>
  </si>
  <si>
    <t>Adnan Rauf</t>
  </si>
  <si>
    <t>IT</t>
  </si>
  <si>
    <t>Rabia Siddiqui</t>
  </si>
  <si>
    <t>Tariq Mehmood</t>
  </si>
  <si>
    <t>Amna Yousaf</t>
  </si>
  <si>
    <t>Noman Ali</t>
  </si>
  <si>
    <t>Shazia Khan</t>
  </si>
  <si>
    <t>Excel</t>
  </si>
  <si>
    <t>Khalid Nawaz</t>
  </si>
  <si>
    <t>Bushra Ahmed</t>
  </si>
  <si>
    <t>Sohail Raza</t>
  </si>
  <si>
    <t>Mehwish Tariq</t>
  </si>
  <si>
    <t>Part-Time</t>
  </si>
  <si>
    <t>Arif Mahmood</t>
  </si>
  <si>
    <t>Komal Iqbal</t>
  </si>
  <si>
    <t>Junaid Khan</t>
  </si>
  <si>
    <t>Analyst</t>
  </si>
  <si>
    <t>Sanaullah Shah</t>
  </si>
  <si>
    <t>Farzana Yousaf</t>
  </si>
  <si>
    <t>Asif Rahman</t>
  </si>
  <si>
    <t>Samina Akhtar</t>
  </si>
  <si>
    <t>Rashid Nawaz</t>
  </si>
  <si>
    <t>Lubna Faisal</t>
  </si>
  <si>
    <t>Waqas Ahmed</t>
  </si>
  <si>
    <t>Naila Raza</t>
  </si>
  <si>
    <t>Haroon Siddiqui</t>
  </si>
  <si>
    <t>Saima Khalid</t>
  </si>
  <si>
    <t>Yasir Abbas</t>
  </si>
  <si>
    <t>Fariha Noor</t>
  </si>
  <si>
    <t>Shahid Hussain</t>
  </si>
  <si>
    <t>Amina Tariq</t>
  </si>
  <si>
    <t>Naveed Iqbal</t>
  </si>
  <si>
    <t>Sehrish Malik</t>
  </si>
  <si>
    <t>Asadullah Khan</t>
  </si>
  <si>
    <t>Kiran Javed</t>
  </si>
  <si>
    <t>Waqar Hussain</t>
  </si>
  <si>
    <t>Sana Ahmed</t>
  </si>
  <si>
    <t>Omer Farooq</t>
  </si>
  <si>
    <t>Rida Aslam</t>
  </si>
  <si>
    <t>Bilal Nawaz</t>
  </si>
  <si>
    <t>Marium Hassan</t>
  </si>
  <si>
    <t>Danish Mahmood</t>
  </si>
  <si>
    <t>Arooba Sheikh</t>
  </si>
  <si>
    <t>Hamid Rauf</t>
  </si>
  <si>
    <t>Tehreem Abbas</t>
  </si>
  <si>
    <t>Sohail Mahmood</t>
  </si>
  <si>
    <t>Anwar Hussain</t>
  </si>
  <si>
    <t>Yasmeen Akhtar</t>
  </si>
  <si>
    <t>Employee ID</t>
  </si>
  <si>
    <t>Full Name</t>
  </si>
  <si>
    <t>Gender</t>
  </si>
  <si>
    <t>Age</t>
  </si>
  <si>
    <t>Age range</t>
  </si>
  <si>
    <t>Region</t>
  </si>
  <si>
    <t>Ali Raza</t>
  </si>
  <si>
    <t>Male</t>
  </si>
  <si>
    <t>18-25</t>
  </si>
  <si>
    <t>Punjab</t>
  </si>
  <si>
    <t>Ayesha Khan</t>
  </si>
  <si>
    <t>Female</t>
  </si>
  <si>
    <t>26-35</t>
  </si>
  <si>
    <t>Hamza Ahmed</t>
  </si>
  <si>
    <t>Fatima Noor</t>
  </si>
  <si>
    <t>36-45</t>
  </si>
  <si>
    <t>Usman Tariq</t>
  </si>
  <si>
    <t>56 &lt;</t>
  </si>
  <si>
    <t>Sana Malik</t>
  </si>
  <si>
    <t>Bilal Hassan</t>
  </si>
  <si>
    <t>Hira Shah</t>
  </si>
  <si>
    <t>Zainab Iqbal</t>
  </si>
  <si>
    <t>Sindh</t>
  </si>
  <si>
    <t>Ahmed Saeed</t>
  </si>
  <si>
    <t>Maryam Aslam</t>
  </si>
  <si>
    <t>Fahad Ali</t>
  </si>
  <si>
    <t>Rabia Javed</t>
  </si>
  <si>
    <t>46-55</t>
  </si>
  <si>
    <t>Maham Khan</t>
  </si>
  <si>
    <t>Imran Abbas</t>
  </si>
  <si>
    <t>Hassan Khan</t>
  </si>
  <si>
    <t>Anum Fatima</t>
  </si>
  <si>
    <t>Saad Ahmed</t>
  </si>
  <si>
    <t>Laiba Tariq</t>
  </si>
  <si>
    <t>KPK</t>
  </si>
  <si>
    <t>Usman Farooq</t>
  </si>
  <si>
    <t>Iman Zahid</t>
  </si>
  <si>
    <t>Salman Raza</t>
  </si>
  <si>
    <t>Noor Hassan</t>
  </si>
  <si>
    <t>Hamza Javed</t>
  </si>
  <si>
    <t>Areeba Malik</t>
  </si>
  <si>
    <t>Shahzaib Ali</t>
  </si>
  <si>
    <t>Balochistan</t>
  </si>
  <si>
    <t>Komal Asif</t>
  </si>
  <si>
    <t>Daniyal Khan</t>
  </si>
  <si>
    <t>Minal Shah</t>
  </si>
  <si>
    <t>Asad Mahmood</t>
  </si>
  <si>
    <t>Waleed Ahmed</t>
  </si>
  <si>
    <t>Iqra Nadeem</t>
  </si>
  <si>
    <t>Arslan Raza</t>
  </si>
  <si>
    <t>Alina Shah</t>
  </si>
  <si>
    <t>Zubair Hassan</t>
  </si>
  <si>
    <t>Eman Fatima</t>
  </si>
  <si>
    <t>Talha Khan</t>
  </si>
  <si>
    <t>Madiha Ali</t>
  </si>
  <si>
    <t>AJK</t>
  </si>
  <si>
    <t>Haris Javed</t>
  </si>
  <si>
    <t>Sidra Noor</t>
  </si>
  <si>
    <t>Saif Ullah</t>
  </si>
  <si>
    <t>Anaya Malik</t>
  </si>
  <si>
    <t>Rizwan Ahmed</t>
  </si>
  <si>
    <t>Mehwish Aslam</t>
  </si>
  <si>
    <t>Kashif Raza</t>
  </si>
  <si>
    <t>Danish Iqbal</t>
  </si>
  <si>
    <t>Saba Khan</t>
  </si>
  <si>
    <t>Naveed Ahmed</t>
  </si>
  <si>
    <t>Aiman Raza</t>
  </si>
  <si>
    <t>Saira Javed</t>
  </si>
  <si>
    <t>Row Labels</t>
  </si>
  <si>
    <t>Grand Total</t>
  </si>
  <si>
    <t>Count of Full Name</t>
  </si>
  <si>
    <t>Number of employees to employment status</t>
  </si>
  <si>
    <t>Total</t>
  </si>
  <si>
    <t>Sum of Salary</t>
  </si>
  <si>
    <t>Salaries to departments</t>
  </si>
  <si>
    <t>Column Labels</t>
  </si>
  <si>
    <t>Age range to gender</t>
  </si>
  <si>
    <t>Workplace</t>
  </si>
  <si>
    <t xml:space="preserve">Total </t>
  </si>
  <si>
    <t>Sum of Leave Taken</t>
  </si>
  <si>
    <t>Regions</t>
  </si>
  <si>
    <t>Departments</t>
  </si>
  <si>
    <t>Average of Performance Rating</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</si>
</sst>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_(* #,##0_);_(* \(#,##0\);_(* &quot;-&quot;??_);_(@_)"/>
    <numFmt numFmtId="165" formatCode="0.0"/>
  </numFmts>
  <fonts count="9">
    <font>
      <sz val="11"/>
      <color theme="1"/>
      <name val="Calibri"/>
      <family val="2"/>
      <scheme val="minor"/>
    </font>
    <font>
      <sz val="16"/>
      <color indexed="8"/>
      <name val="Calibri"/>
      <family val="2"/>
    </font>
    <font>
      <b/>
      <sz val="16"/>
      <color indexed="8"/>
      <name val="Calibri"/>
      <family val="2"/>
    </font>
    <font>
      <sz val="16"/>
      <color theme="1"/>
      <name val="Calibri"/>
      <family val="2"/>
      <scheme val="minor"/>
    </font>
    <font>
      <b/>
      <sz val="11"/>
      <color theme="0"/>
      <name val="Calibri"/>
      <family val="2"/>
      <scheme val="minor"/>
    </font>
    <font>
      <sz val="11"/>
      <color theme="1"/>
      <name val="Kulim Park"/>
    </font>
    <font>
      <sz val="11"/>
      <color theme="1"/>
      <name val="Calibri"/>
      <family val="2"/>
      <scheme val="minor"/>
    </font>
    <font>
      <sz val="11"/>
      <color rgb="FF282828"/>
      <name val="Calibri"/>
      <family val="2"/>
      <scheme val="minor"/>
    </font>
    <font>
      <sz val="11"/>
      <color theme="1"/>
      <name val="Segoe UI"/>
      <family val="2"/>
    </font>
  </fonts>
  <fills count="5">
    <fill>
      <patternFill patternType="none"/>
    </fill>
    <fill>
      <patternFill patternType="gray125"/>
    </fill>
    <fill>
      <patternFill patternType="solid">
        <fgColor rgb="FF282828"/>
        <bgColor indexed="64"/>
      </patternFill>
    </fill>
    <fill>
      <patternFill patternType="solid">
        <fgColor theme="1"/>
        <bgColor indexed="64"/>
      </patternFill>
    </fill>
    <fill>
      <patternFill patternType="solid">
        <fgColor theme="0"/>
        <bgColor indexed="64"/>
      </patternFill>
    </fill>
  </fills>
  <borders count="1">
    <border>
      <left/>
      <right/>
      <top/>
      <bottom/>
      <diagonal/>
    </border>
  </borders>
  <cellStyleXfs count="3">
    <xf numFmtId="0" fontId="0" fillId="0" borderId="0"/>
    <xf numFmtId="43" fontId="6" fillId="0" borderId="0" applyFont="0" applyFill="0" applyBorder="0" applyAlignment="0" applyProtection="0"/>
    <xf numFmtId="9" fontId="6" fillId="0" borderId="0" applyFont="0" applyFill="0" applyBorder="0" applyAlignment="0" applyProtection="0"/>
  </cellStyleXfs>
  <cellXfs count="25">
    <xf numFmtId="0" fontId="0" fillId="0" borderId="0" xfId="0"/>
    <xf numFmtId="0" fontId="0" fillId="0" borderId="0" xfId="0" applyAlignment="1">
      <alignment horizontal="center"/>
    </xf>
    <xf numFmtId="0" fontId="1" fillId="0" borderId="0" xfId="0" applyNumberFormat="1" applyFont="1" applyFill="1" applyBorder="1" applyAlignment="1" applyProtection="1">
      <alignment horizontal="center" vertical="center" wrapText="1"/>
    </xf>
    <xf numFmtId="0" fontId="1" fillId="0" borderId="0" xfId="0" applyNumberFormat="1" applyFont="1" applyFill="1" applyBorder="1" applyAlignment="1" applyProtection="1">
      <alignment vertical="center" wrapText="1"/>
    </xf>
    <xf numFmtId="0" fontId="1" fillId="0" borderId="0" xfId="0" applyNumberFormat="1" applyFont="1" applyFill="1" applyBorder="1" applyAlignment="1" applyProtection="1">
      <alignment horizontal="center" vertical="top" wrapText="1"/>
    </xf>
    <xf numFmtId="14" fontId="1" fillId="0" borderId="0" xfId="0" applyNumberFormat="1" applyFont="1" applyFill="1" applyBorder="1" applyAlignment="1" applyProtection="1">
      <alignment horizontal="center" vertical="center" wrapText="1"/>
    </xf>
    <xf numFmtId="0" fontId="2" fillId="0" borderId="0" xfId="0" applyNumberFormat="1" applyFont="1" applyFill="1" applyBorder="1" applyAlignment="1" applyProtection="1">
      <alignment horizontal="center" vertical="center" wrapText="1"/>
    </xf>
    <xf numFmtId="0" fontId="3" fillId="0" borderId="0" xfId="0" applyFont="1" applyAlignment="1">
      <alignment horizontal="center"/>
    </xf>
    <xf numFmtId="0" fontId="5" fillId="2" borderId="0" xfId="0" applyFont="1" applyFill="1"/>
    <xf numFmtId="0" fontId="0" fillId="2" borderId="0" xfId="0" applyFill="1"/>
    <xf numFmtId="0" fontId="0" fillId="0" borderId="0" xfId="0" pivotButton="1"/>
    <xf numFmtId="0" fontId="0" fillId="0" borderId="0" xfId="0" applyAlignment="1">
      <alignment horizontal="left"/>
    </xf>
    <xf numFmtId="0" fontId="0" fillId="0" borderId="0" xfId="0" applyNumberFormat="1"/>
    <xf numFmtId="0" fontId="4" fillId="4" borderId="0" xfId="0" applyFont="1" applyFill="1" applyAlignment="1">
      <alignment horizontal="center" vertical="center"/>
    </xf>
    <xf numFmtId="164" fontId="0" fillId="0" borderId="0" xfId="0" applyNumberFormat="1"/>
    <xf numFmtId="164" fontId="0" fillId="0" borderId="0" xfId="1" applyNumberFormat="1" applyFont="1"/>
    <xf numFmtId="9" fontId="0" fillId="0" borderId="0" xfId="2" applyFont="1"/>
    <xf numFmtId="9" fontId="0" fillId="0" borderId="0" xfId="0" applyNumberFormat="1"/>
    <xf numFmtId="43" fontId="0" fillId="0" borderId="0" xfId="1" applyFont="1"/>
    <xf numFmtId="164" fontId="6" fillId="0" borderId="0" xfId="1" applyNumberFormat="1" applyFont="1"/>
    <xf numFmtId="0" fontId="7" fillId="2" borderId="0" xfId="0" applyFont="1" applyFill="1"/>
    <xf numFmtId="165" fontId="0" fillId="0" borderId="0" xfId="0" applyNumberFormat="1"/>
    <xf numFmtId="165" fontId="0" fillId="0" borderId="0" xfId="0" applyNumberFormat="1" applyFont="1"/>
    <xf numFmtId="0" fontId="8" fillId="2" borderId="0" xfId="0" applyFont="1" applyFill="1"/>
    <xf numFmtId="0" fontId="4" fillId="3" borderId="0" xfId="0" applyFont="1" applyFill="1" applyAlignment="1">
      <alignment horizontal="center" vertical="center"/>
    </xf>
  </cellXfs>
  <cellStyles count="3">
    <cellStyle name="Comma" xfId="1" builtinId="3"/>
    <cellStyle name="Normal" xfId="0" builtinId="0"/>
    <cellStyle name="Percent" xfId="2" builtinId="5"/>
  </cellStyles>
  <dxfs count="27">
    <dxf>
      <numFmt numFmtId="165" formatCode="0.0"/>
    </dxf>
    <dxf>
      <numFmt numFmtId="165" formatCode="0.0"/>
    </dxf>
    <dxf>
      <numFmt numFmtId="164" formatCode="_(* #,##0_);_(* \(#,##0\);_(* &quot;-&quot;??_);_(@_)"/>
    </dxf>
    <dxf>
      <font>
        <b val="0"/>
        <i val="0"/>
        <strike val="0"/>
        <condense val="0"/>
        <extend val="0"/>
        <outline val="0"/>
        <shadow val="0"/>
        <u val="none"/>
        <vertAlign val="baseline"/>
        <sz val="16"/>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6"/>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6"/>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6"/>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6"/>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6"/>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6"/>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6"/>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6"/>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6"/>
        <color indexed="8"/>
        <name val="Calibri"/>
        <scheme val="none"/>
      </font>
      <numFmt numFmtId="0" formatCode="General"/>
      <fill>
        <patternFill patternType="none">
          <fgColor indexed="64"/>
          <bgColor indexed="65"/>
        </patternFill>
      </fill>
      <alignment horizontal="general" vertical="center" textRotation="0" wrapText="1" indent="0" justifyLastLine="0" shrinkToFit="0" readingOrder="0"/>
      <protection locked="1" hidden="0"/>
    </dxf>
    <dxf>
      <font>
        <b val="0"/>
        <i val="0"/>
        <strike val="0"/>
        <condense val="0"/>
        <extend val="0"/>
        <outline val="0"/>
        <shadow val="0"/>
        <u val="none"/>
        <vertAlign val="baseline"/>
        <sz val="16"/>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6"/>
        <color indexed="8"/>
        <name val="Calibri"/>
        <scheme val="none"/>
      </font>
      <numFmt numFmtId="19" formatCode="m/d/yyyy"/>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6"/>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6"/>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6"/>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6"/>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6"/>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6"/>
        <color indexed="8"/>
        <name val="Calibri"/>
        <scheme val="none"/>
      </font>
      <numFmt numFmtId="0" formatCode="General"/>
      <fill>
        <patternFill patternType="none">
          <fgColor indexed="64"/>
          <bgColor indexed="65"/>
        </patternFill>
      </fill>
      <alignment horizontal="center" vertical="top" textRotation="0" wrapText="1" indent="0" justifyLastLine="0" shrinkToFit="0" readingOrder="0"/>
      <protection locked="1" hidden="0"/>
    </dxf>
    <dxf>
      <font>
        <b val="0"/>
        <i val="0"/>
        <strike val="0"/>
        <condense val="0"/>
        <extend val="0"/>
        <outline val="0"/>
        <shadow val="0"/>
        <u val="none"/>
        <vertAlign val="baseline"/>
        <sz val="16"/>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6"/>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6"/>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6"/>
        <color indexed="8"/>
        <name val="Calibri"/>
        <scheme val="none"/>
      </font>
      <fill>
        <patternFill patternType="none">
          <fgColor indexed="64"/>
          <bgColor indexed="65"/>
        </patternFill>
      </fill>
      <alignment horizontal="center" vertical="center" textRotation="0" wrapText="1" indent="0" justifyLastLine="0" shrinkToFit="0" readingOrder="0"/>
      <protection locked="1" hidden="0"/>
    </dxf>
    <dxf>
      <font>
        <b/>
        <i val="0"/>
        <strike val="0"/>
        <condense val="0"/>
        <extend val="0"/>
        <outline val="0"/>
        <shadow val="0"/>
        <u val="none"/>
        <vertAlign val="baseline"/>
        <sz val="16"/>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sz val="10"/>
        <name val="Cambria"/>
        <scheme val="none"/>
      </font>
      <fill>
        <patternFill>
          <fgColor rgb="FF1F1F1F"/>
          <bgColor rgb="FF1F1F1F"/>
        </patternFill>
      </fill>
    </dxf>
  </dxfs>
  <tableStyles count="1" defaultTableStyle="TableStyleMedium2" defaultPivotStyle="PivotStyleLight16">
    <tableStyle name="Slicer Style 1" pivot="0" table="0" count="5">
      <tableStyleElement type="wholeTable" dxfId="26"/>
    </tableStyle>
  </tableStyles>
  <colors>
    <mruColors>
      <color rgb="FF1F1F1F"/>
      <color rgb="FF282828"/>
      <color rgb="FFE5B21C"/>
      <color rgb="FFE5B244"/>
      <color rgb="FFFFFFFF"/>
      <color rgb="FF1C1C1C"/>
    </mruColors>
  </colors>
  <extLst>
    <ext xmlns:x14="http://schemas.microsoft.com/office/spreadsheetml/2009/9/main" uri="{46F421CA-312F-682f-3DD2-61675219B42D}">
      <x14:dxfs count="4">
        <dxf>
          <font>
            <sz val="11"/>
            <color rgb="FF1F1F1F"/>
            <name val="Cambria"/>
            <scheme val="none"/>
          </font>
          <fill>
            <patternFill>
              <fgColor rgb="FFE5B21C"/>
              <bgColor rgb="FFE5B21C"/>
            </patternFill>
          </fill>
        </dxf>
        <dxf>
          <font>
            <color rgb="FFE5B21C"/>
            <name val="Cambria"/>
          </font>
          <fill>
            <patternFill>
              <fgColor auto="1"/>
              <bgColor rgb="FF282828"/>
            </patternFill>
          </fill>
        </dxf>
        <dxf>
          <font>
            <b val="0"/>
            <i val="0"/>
            <sz val="10"/>
            <color rgb="FF1F1F1F"/>
            <name val="Cambria"/>
          </font>
          <fill>
            <patternFill>
              <fgColor rgb="FFE5B21C"/>
              <bgColor rgb="FFE5B21C"/>
            </patternFill>
          </fill>
        </dxf>
        <dxf>
          <font>
            <color rgb="FFE5B21C"/>
            <name val="Cambria"/>
          </font>
          <fill>
            <patternFill>
              <fgColor rgb="FF282828"/>
              <bgColor rgb="FF282828"/>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9490554088079464E-2"/>
          <c:y val="2.0143894020911584E-2"/>
          <c:w val="0.8853500948593398"/>
          <c:h val="0.97985610597908845"/>
        </c:manualLayout>
      </c:layout>
      <c:pieChart>
        <c:varyColors val="1"/>
        <c:ser>
          <c:idx val="0"/>
          <c:order val="0"/>
          <c:spPr>
            <a:ln w="31750">
              <a:solidFill>
                <a:schemeClr val="accent1"/>
              </a:solidFill>
            </a:ln>
          </c:spPr>
          <c:dPt>
            <c:idx val="0"/>
            <c:bubble3D val="0"/>
            <c:spPr>
              <a:solidFill>
                <a:srgbClr val="E5B244"/>
              </a:solidFill>
              <a:ln w="31750">
                <a:solidFill>
                  <a:srgbClr val="1F1F1F"/>
                </a:solidFill>
              </a:ln>
              <a:effectLst/>
            </c:spPr>
          </c:dPt>
          <c:dPt>
            <c:idx val="1"/>
            <c:bubble3D val="0"/>
            <c:spPr>
              <a:solidFill>
                <a:schemeClr val="tx1">
                  <a:lumMod val="75000"/>
                  <a:lumOff val="25000"/>
                </a:schemeClr>
              </a:solidFill>
              <a:ln w="31750">
                <a:solidFill>
                  <a:srgbClr val="1F1F1F"/>
                </a:solidFill>
              </a:ln>
              <a:effectLst/>
            </c:spPr>
          </c:dPt>
          <c:dPt>
            <c:idx val="2"/>
            <c:bubble3D val="0"/>
            <c:spPr>
              <a:solidFill>
                <a:schemeClr val="bg2">
                  <a:lumMod val="90000"/>
                </a:schemeClr>
              </a:solidFill>
              <a:ln w="31750">
                <a:solidFill>
                  <a:srgbClr val="1F1F1F"/>
                </a:solidFill>
              </a:ln>
              <a:effectLst/>
            </c:spPr>
          </c:dPt>
          <c:cat>
            <c:strRef>
              <c:f>PivotTables!$B$11:$B$13</c:f>
              <c:strCache>
                <c:ptCount val="3"/>
                <c:pt idx="0">
                  <c:v>Contract</c:v>
                </c:pt>
                <c:pt idx="1">
                  <c:v>Full-Time</c:v>
                </c:pt>
                <c:pt idx="2">
                  <c:v>Part-Time</c:v>
                </c:pt>
              </c:strCache>
            </c:strRef>
          </c:cat>
          <c:val>
            <c:numRef>
              <c:f>PivotTables!$C$11:$C$13</c:f>
              <c:numCache>
                <c:formatCode>General</c:formatCode>
                <c:ptCount val="3"/>
                <c:pt idx="0">
                  <c:v>17</c:v>
                </c:pt>
                <c:pt idx="1">
                  <c:v>20</c:v>
                </c:pt>
                <c:pt idx="2">
                  <c:v>13</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(2).xlsx]PivotTables!Age Range</c:name>
    <c:fmtId val="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E5B244"/>
          </a:solidFill>
          <a:ln>
            <a:solidFill>
              <a:srgbClr val="E5B24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95000"/>
            </a:schemeClr>
          </a:solidFill>
          <a:ln>
            <a:solidFill>
              <a:srgbClr val="E5B24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PivotTables!$K$4:$K$5</c:f>
              <c:strCache>
                <c:ptCount val="1"/>
                <c:pt idx="0">
                  <c:v>Female</c:v>
                </c:pt>
              </c:strCache>
            </c:strRef>
          </c:tx>
          <c:spPr>
            <a:solidFill>
              <a:srgbClr val="E5B244"/>
            </a:solidFill>
            <a:ln>
              <a:solidFill>
                <a:srgbClr val="E5B244"/>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PivotTables!$J$6:$J$11</c:f>
              <c:strCache>
                <c:ptCount val="5"/>
                <c:pt idx="0">
                  <c:v>18-25</c:v>
                </c:pt>
                <c:pt idx="1">
                  <c:v>26-35</c:v>
                </c:pt>
                <c:pt idx="2">
                  <c:v>36-45</c:v>
                </c:pt>
                <c:pt idx="3">
                  <c:v>46-55</c:v>
                </c:pt>
                <c:pt idx="4">
                  <c:v>56 &lt;</c:v>
                </c:pt>
              </c:strCache>
            </c:strRef>
          </c:cat>
          <c:val>
            <c:numRef>
              <c:f>PivotTables!$K$6:$K$11</c:f>
              <c:numCache>
                <c:formatCode>General</c:formatCode>
                <c:ptCount val="5"/>
                <c:pt idx="0">
                  <c:v>5</c:v>
                </c:pt>
                <c:pt idx="1">
                  <c:v>5</c:v>
                </c:pt>
                <c:pt idx="2">
                  <c:v>7</c:v>
                </c:pt>
                <c:pt idx="3">
                  <c:v>4</c:v>
                </c:pt>
                <c:pt idx="4">
                  <c:v>4</c:v>
                </c:pt>
              </c:numCache>
            </c:numRef>
          </c:val>
        </c:ser>
        <c:ser>
          <c:idx val="1"/>
          <c:order val="1"/>
          <c:tx>
            <c:strRef>
              <c:f>PivotTables!$L$4:$L$5</c:f>
              <c:strCache>
                <c:ptCount val="1"/>
                <c:pt idx="0">
                  <c:v>Male</c:v>
                </c:pt>
              </c:strCache>
            </c:strRef>
          </c:tx>
          <c:spPr>
            <a:solidFill>
              <a:schemeClr val="bg1">
                <a:lumMod val="95000"/>
              </a:schemeClr>
            </a:solidFill>
            <a:ln>
              <a:solidFill>
                <a:srgbClr val="E5B244"/>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PivotTables!$J$6:$J$11</c:f>
              <c:strCache>
                <c:ptCount val="5"/>
                <c:pt idx="0">
                  <c:v>18-25</c:v>
                </c:pt>
                <c:pt idx="1">
                  <c:v>26-35</c:v>
                </c:pt>
                <c:pt idx="2">
                  <c:v>36-45</c:v>
                </c:pt>
                <c:pt idx="3">
                  <c:v>46-55</c:v>
                </c:pt>
                <c:pt idx="4">
                  <c:v>56 &lt;</c:v>
                </c:pt>
              </c:strCache>
            </c:strRef>
          </c:cat>
          <c:val>
            <c:numRef>
              <c:f>PivotTables!$L$6:$L$11</c:f>
              <c:numCache>
                <c:formatCode>General</c:formatCode>
                <c:ptCount val="5"/>
                <c:pt idx="0">
                  <c:v>4</c:v>
                </c:pt>
                <c:pt idx="1">
                  <c:v>8</c:v>
                </c:pt>
                <c:pt idx="2">
                  <c:v>5</c:v>
                </c:pt>
                <c:pt idx="3">
                  <c:v>3</c:v>
                </c:pt>
                <c:pt idx="4">
                  <c:v>5</c:v>
                </c:pt>
              </c:numCache>
            </c:numRef>
          </c:val>
        </c:ser>
        <c:dLbls>
          <c:dLblPos val="outEnd"/>
          <c:showLegendKey val="0"/>
          <c:showVal val="1"/>
          <c:showCatName val="0"/>
          <c:showSerName val="0"/>
          <c:showPercent val="0"/>
          <c:showBubbleSize val="0"/>
        </c:dLbls>
        <c:gapWidth val="219"/>
        <c:overlap val="-27"/>
        <c:axId val="1210351376"/>
        <c:axId val="1210366608"/>
      </c:barChart>
      <c:catAx>
        <c:axId val="121035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0366608"/>
        <c:crosses val="autoZero"/>
        <c:auto val="1"/>
        <c:lblAlgn val="ctr"/>
        <c:lblOffset val="100"/>
        <c:noMultiLvlLbl val="0"/>
      </c:catAx>
      <c:valAx>
        <c:axId val="1210366608"/>
        <c:scaling>
          <c:orientation val="minMax"/>
        </c:scaling>
        <c:delete val="1"/>
        <c:axPos val="l"/>
        <c:majorGridlines>
          <c:spPr>
            <a:ln w="9525" cap="flat" cmpd="sng" algn="ctr">
              <a:solidFill>
                <a:srgbClr val="E5B244">
                  <a:alpha val="34000"/>
                </a:srgbClr>
              </a:solidFill>
              <a:prstDash val="dashDot"/>
              <a:round/>
            </a:ln>
            <a:effectLst/>
          </c:spPr>
        </c:majorGridlines>
        <c:numFmt formatCode="General" sourceLinked="1"/>
        <c:majorTickMark val="none"/>
        <c:minorTickMark val="none"/>
        <c:tickLblPos val="nextTo"/>
        <c:crossAx val="1210351376"/>
        <c:crosses val="autoZero"/>
        <c:crossBetween val="between"/>
      </c:valAx>
      <c:spPr>
        <a:noFill/>
        <a:ln>
          <a:solidFill>
            <a:srgbClr val="E5B244">
              <a:alpha val="34000"/>
            </a:srgbClr>
          </a:solid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PivotTables!$O$16</c:f>
              <c:numCache>
                <c:formatCode>0%</c:formatCode>
                <c:ptCount val="1"/>
                <c:pt idx="0">
                  <c:v>0.46</c:v>
                </c:pt>
              </c:numCache>
            </c:numRef>
          </c:val>
        </c:ser>
        <c:ser>
          <c:idx val="1"/>
          <c:order val="1"/>
          <c:spPr>
            <a:solidFill>
              <a:srgbClr val="1F1F1F"/>
            </a:solidFill>
            <a:ln>
              <a:noFill/>
            </a:ln>
            <a:effectLst/>
          </c:spPr>
          <c:invertIfNegative val="0"/>
          <c:val>
            <c:numRef>
              <c:f>PivotTables!$P$16</c:f>
              <c:numCache>
                <c:formatCode>0%</c:formatCode>
                <c:ptCount val="1"/>
                <c:pt idx="0">
                  <c:v>0.54</c:v>
                </c:pt>
              </c:numCache>
            </c:numRef>
          </c:val>
        </c:ser>
        <c:dLbls>
          <c:showLegendKey val="0"/>
          <c:showVal val="0"/>
          <c:showCatName val="0"/>
          <c:showSerName val="0"/>
          <c:showPercent val="0"/>
          <c:showBubbleSize val="0"/>
        </c:dLbls>
        <c:gapWidth val="150"/>
        <c:overlap val="100"/>
        <c:axId val="1210356816"/>
        <c:axId val="1210362256"/>
      </c:barChart>
      <c:catAx>
        <c:axId val="1210356816"/>
        <c:scaling>
          <c:orientation val="minMax"/>
        </c:scaling>
        <c:delete val="1"/>
        <c:axPos val="l"/>
        <c:majorTickMark val="none"/>
        <c:minorTickMark val="none"/>
        <c:tickLblPos val="nextTo"/>
        <c:crossAx val="1210362256"/>
        <c:crosses val="autoZero"/>
        <c:auto val="1"/>
        <c:lblAlgn val="ctr"/>
        <c:lblOffset val="100"/>
        <c:noMultiLvlLbl val="0"/>
      </c:catAx>
      <c:valAx>
        <c:axId val="1210362256"/>
        <c:scaling>
          <c:orientation val="minMax"/>
        </c:scaling>
        <c:delete val="1"/>
        <c:axPos val="b"/>
        <c:numFmt formatCode="0%" sourceLinked="1"/>
        <c:majorTickMark val="none"/>
        <c:minorTickMark val="none"/>
        <c:tickLblPos val="nextTo"/>
        <c:crossAx val="12103568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PivotTables!$O$17</c:f>
              <c:numCache>
                <c:formatCode>0%</c:formatCode>
                <c:ptCount val="1"/>
                <c:pt idx="0">
                  <c:v>0.16</c:v>
                </c:pt>
              </c:numCache>
            </c:numRef>
          </c:val>
        </c:ser>
        <c:ser>
          <c:idx val="1"/>
          <c:order val="1"/>
          <c:spPr>
            <a:solidFill>
              <a:srgbClr val="1F1F1F"/>
            </a:solidFill>
            <a:ln>
              <a:noFill/>
            </a:ln>
            <a:effectLst/>
          </c:spPr>
          <c:invertIfNegative val="0"/>
          <c:val>
            <c:numRef>
              <c:f>PivotTables!$P$17</c:f>
              <c:numCache>
                <c:formatCode>0%</c:formatCode>
                <c:ptCount val="1"/>
                <c:pt idx="0">
                  <c:v>0.84</c:v>
                </c:pt>
              </c:numCache>
            </c:numRef>
          </c:val>
        </c:ser>
        <c:dLbls>
          <c:showLegendKey val="0"/>
          <c:showVal val="0"/>
          <c:showCatName val="0"/>
          <c:showSerName val="0"/>
          <c:showPercent val="0"/>
          <c:showBubbleSize val="0"/>
        </c:dLbls>
        <c:gapWidth val="150"/>
        <c:overlap val="100"/>
        <c:axId val="1210353008"/>
        <c:axId val="1210358992"/>
      </c:barChart>
      <c:catAx>
        <c:axId val="1210353008"/>
        <c:scaling>
          <c:orientation val="minMax"/>
        </c:scaling>
        <c:delete val="1"/>
        <c:axPos val="l"/>
        <c:majorTickMark val="none"/>
        <c:minorTickMark val="none"/>
        <c:tickLblPos val="nextTo"/>
        <c:crossAx val="1210358992"/>
        <c:crosses val="autoZero"/>
        <c:auto val="1"/>
        <c:lblAlgn val="ctr"/>
        <c:lblOffset val="100"/>
        <c:noMultiLvlLbl val="0"/>
      </c:catAx>
      <c:valAx>
        <c:axId val="1210358992"/>
        <c:scaling>
          <c:orientation val="minMax"/>
        </c:scaling>
        <c:delete val="1"/>
        <c:axPos val="b"/>
        <c:numFmt formatCode="0%" sourceLinked="1"/>
        <c:majorTickMark val="none"/>
        <c:minorTickMark val="none"/>
        <c:tickLblPos val="nextTo"/>
        <c:crossAx val="12103530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5B244"/>
            </a:solidFill>
            <a:ln>
              <a:noFill/>
            </a:ln>
            <a:effectLst/>
          </c:spPr>
          <c:invertIfNegative val="0"/>
          <c:val>
            <c:numRef>
              <c:f>PivotTables!$O$18</c:f>
              <c:numCache>
                <c:formatCode>0%</c:formatCode>
                <c:ptCount val="1"/>
                <c:pt idx="0">
                  <c:v>0.38</c:v>
                </c:pt>
              </c:numCache>
            </c:numRef>
          </c:val>
        </c:ser>
        <c:ser>
          <c:idx val="1"/>
          <c:order val="1"/>
          <c:spPr>
            <a:solidFill>
              <a:srgbClr val="1F1F1F"/>
            </a:solidFill>
            <a:ln>
              <a:noFill/>
            </a:ln>
            <a:effectLst/>
          </c:spPr>
          <c:invertIfNegative val="0"/>
          <c:val>
            <c:numRef>
              <c:f>PivotTables!$P$18</c:f>
              <c:numCache>
                <c:formatCode>0%</c:formatCode>
                <c:ptCount val="1"/>
                <c:pt idx="0">
                  <c:v>0.62</c:v>
                </c:pt>
              </c:numCache>
            </c:numRef>
          </c:val>
        </c:ser>
        <c:dLbls>
          <c:showLegendKey val="0"/>
          <c:showVal val="0"/>
          <c:showCatName val="0"/>
          <c:showSerName val="0"/>
          <c:showPercent val="0"/>
          <c:showBubbleSize val="0"/>
        </c:dLbls>
        <c:gapWidth val="150"/>
        <c:overlap val="100"/>
        <c:axId val="1210354096"/>
        <c:axId val="1210361168"/>
      </c:barChart>
      <c:catAx>
        <c:axId val="1210354096"/>
        <c:scaling>
          <c:orientation val="minMax"/>
        </c:scaling>
        <c:delete val="1"/>
        <c:axPos val="l"/>
        <c:majorTickMark val="none"/>
        <c:minorTickMark val="none"/>
        <c:tickLblPos val="nextTo"/>
        <c:crossAx val="1210361168"/>
        <c:crosses val="autoZero"/>
        <c:auto val="1"/>
        <c:lblAlgn val="ctr"/>
        <c:lblOffset val="100"/>
        <c:noMultiLvlLbl val="0"/>
      </c:catAx>
      <c:valAx>
        <c:axId val="1210361168"/>
        <c:scaling>
          <c:orientation val="minMax"/>
        </c:scaling>
        <c:delete val="1"/>
        <c:axPos val="b"/>
        <c:numFmt formatCode="0%" sourceLinked="1"/>
        <c:majorTickMark val="none"/>
        <c:minorTickMark val="none"/>
        <c:tickLblPos val="nextTo"/>
        <c:crossAx val="12103540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591602348070028"/>
          <c:y val="0.1809838531105282"/>
          <c:w val="0.71481444055555043"/>
          <c:h val="0.6632298304879285"/>
        </c:manualLayout>
      </c:layout>
      <c:doughnutChart>
        <c:varyColors val="1"/>
        <c:ser>
          <c:idx val="0"/>
          <c:order val="0"/>
          <c:spPr>
            <a:ln>
              <a:noFill/>
            </a:ln>
          </c:spPr>
          <c:dPt>
            <c:idx val="0"/>
            <c:bubble3D val="0"/>
            <c:spPr>
              <a:solidFill>
                <a:srgbClr val="E5B244"/>
              </a:solidFill>
              <a:ln w="19050">
                <a:noFill/>
              </a:ln>
              <a:effectLst/>
            </c:spPr>
          </c:dPt>
          <c:dPt>
            <c:idx val="1"/>
            <c:bubble3D val="0"/>
            <c:spPr>
              <a:solidFill>
                <a:srgbClr val="1F1F1F"/>
              </a:solidFill>
              <a:ln w="19050">
                <a:noFill/>
              </a:ln>
              <a:effectLst/>
            </c:spPr>
          </c:dPt>
          <c:val>
            <c:numRef>
              <c:f>PivotTables!$L$22:$M$22</c:f>
              <c:numCache>
                <c:formatCode>0%</c:formatCode>
                <c:ptCount val="2"/>
                <c:pt idx="0">
                  <c:v>0.5</c:v>
                </c:pt>
                <c:pt idx="1">
                  <c:v>0.5</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18037941515563"/>
          <c:y val="0.23180514174168004"/>
          <c:w val="0.68065582231513388"/>
          <c:h val="0.87080539473021035"/>
        </c:manualLayout>
      </c:layout>
      <c:doughnutChart>
        <c:varyColors val="1"/>
        <c:ser>
          <c:idx val="0"/>
          <c:order val="0"/>
          <c:spPr>
            <a:ln>
              <a:noFill/>
            </a:ln>
          </c:spPr>
          <c:explosion val="2"/>
          <c:dPt>
            <c:idx val="0"/>
            <c:bubble3D val="0"/>
            <c:spPr>
              <a:solidFill>
                <a:schemeClr val="bg1">
                  <a:lumMod val="95000"/>
                </a:schemeClr>
              </a:solidFill>
              <a:ln w="19050">
                <a:noFill/>
              </a:ln>
              <a:effectLst/>
            </c:spPr>
          </c:dPt>
          <c:dPt>
            <c:idx val="1"/>
            <c:bubble3D val="0"/>
            <c:spPr>
              <a:solidFill>
                <a:srgbClr val="1F1F1F"/>
              </a:solidFill>
              <a:ln w="19050">
                <a:noFill/>
              </a:ln>
              <a:effectLst/>
            </c:spPr>
          </c:dPt>
          <c:val>
            <c:numRef>
              <c:f>PivotTables!$L$21:$M$21</c:f>
              <c:numCache>
                <c:formatCode>0%</c:formatCode>
                <c:ptCount val="2"/>
                <c:pt idx="0">
                  <c:v>0.5</c:v>
                </c:pt>
                <c:pt idx="1">
                  <c:v>0.5</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921048286284067E-2"/>
          <c:y val="6.2962988669636663E-2"/>
          <c:w val="0.87697369377017509"/>
          <c:h val="0.51439571891338776"/>
        </c:manualLayout>
      </c:layout>
      <c:barChart>
        <c:barDir val="col"/>
        <c:grouping val="clustered"/>
        <c:varyColors val="0"/>
        <c:ser>
          <c:idx val="0"/>
          <c:order val="0"/>
          <c:tx>
            <c:strRef>
              <c:f>PivotTables!$F$13</c:f>
              <c:strCache>
                <c:ptCount val="1"/>
                <c:pt idx="0">
                  <c:v>Analyst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PivotTables!$H$13</c:f>
              <c:numCache>
                <c:formatCode>_(* #,##0_);_(* \(#,##0\);_(* "-"??_);_(@_)</c:formatCode>
                <c:ptCount val="1"/>
                <c:pt idx="0">
                  <c:v>28</c:v>
                </c:pt>
              </c:numCache>
            </c:numRef>
          </c:val>
        </c:ser>
        <c:ser>
          <c:idx val="1"/>
          <c:order val="1"/>
          <c:tx>
            <c:strRef>
              <c:f>PivotTables!$F$14</c:f>
              <c:strCache>
                <c:ptCount val="1"/>
                <c:pt idx="0">
                  <c:v>Designer</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PivotTables!$H$14</c:f>
              <c:numCache>
                <c:formatCode>_(* #,##0_);_(* \(#,##0\);_(* "-"??_);_(@_)</c:formatCode>
                <c:ptCount val="1"/>
                <c:pt idx="0">
                  <c:v>110</c:v>
                </c:pt>
              </c:numCache>
            </c:numRef>
          </c:val>
        </c:ser>
        <c:ser>
          <c:idx val="2"/>
          <c:order val="2"/>
          <c:tx>
            <c:strRef>
              <c:f>PivotTables!$F$15</c:f>
              <c:strCache>
                <c:ptCount val="1"/>
                <c:pt idx="0">
                  <c:v>Developer</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PivotTables!$H$15</c:f>
              <c:numCache>
                <c:formatCode>_(* #,##0_);_(* \(#,##0\);_(* "-"??_);_(@_)</c:formatCode>
                <c:ptCount val="1"/>
                <c:pt idx="0">
                  <c:v>104</c:v>
                </c:pt>
              </c:numCache>
            </c:numRef>
          </c:val>
        </c:ser>
        <c:ser>
          <c:idx val="3"/>
          <c:order val="3"/>
          <c:tx>
            <c:strRef>
              <c:f>PivotTables!$F$16</c:f>
              <c:strCache>
                <c:ptCount val="1"/>
                <c:pt idx="0">
                  <c:v>HR Specialist</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PivotTables!$H$16</c:f>
              <c:numCache>
                <c:formatCode>_(* #,##0_);_(* \(#,##0\);_(* "-"??_);_(@_)</c:formatCode>
                <c:ptCount val="1"/>
                <c:pt idx="0">
                  <c:v>123</c:v>
                </c:pt>
              </c:numCache>
            </c:numRef>
          </c:val>
        </c:ser>
        <c:ser>
          <c:idx val="4"/>
          <c:order val="4"/>
          <c:tx>
            <c:strRef>
              <c:f>PivotTables!$F$17</c:f>
              <c:strCache>
                <c:ptCount val="1"/>
                <c:pt idx="0">
                  <c:v>Manager</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PivotTables!$H$17</c:f>
              <c:numCache>
                <c:formatCode>_(* #,##0_);_(* \(#,##0\);_(* "-"??_);_(@_)</c:formatCode>
                <c:ptCount val="1"/>
                <c:pt idx="0">
                  <c:v>122</c:v>
                </c:pt>
              </c:numCache>
            </c:numRef>
          </c:val>
        </c:ser>
        <c:dLbls>
          <c:dLblPos val="outEnd"/>
          <c:showLegendKey val="0"/>
          <c:showVal val="1"/>
          <c:showCatName val="0"/>
          <c:showSerName val="0"/>
          <c:showPercent val="0"/>
          <c:showBubbleSize val="0"/>
        </c:dLbls>
        <c:gapWidth val="219"/>
        <c:overlap val="-27"/>
        <c:axId val="1291045664"/>
        <c:axId val="1291040768"/>
      </c:barChart>
      <c:catAx>
        <c:axId val="1291045664"/>
        <c:scaling>
          <c:orientation val="minMax"/>
        </c:scaling>
        <c:delete val="1"/>
        <c:axPos val="b"/>
        <c:numFmt formatCode="General" sourceLinked="1"/>
        <c:majorTickMark val="none"/>
        <c:minorTickMark val="none"/>
        <c:tickLblPos val="nextTo"/>
        <c:crossAx val="1291040768"/>
        <c:crosses val="autoZero"/>
        <c:auto val="1"/>
        <c:lblAlgn val="ctr"/>
        <c:lblOffset val="100"/>
        <c:noMultiLvlLbl val="0"/>
      </c:catAx>
      <c:valAx>
        <c:axId val="1291040768"/>
        <c:scaling>
          <c:orientation val="minMax"/>
        </c:scaling>
        <c:delete val="1"/>
        <c:axPos val="l"/>
        <c:majorGridlines>
          <c:spPr>
            <a:ln w="9525" cap="rnd" cmpd="sng" algn="ctr">
              <a:solidFill>
                <a:srgbClr val="E5B244">
                  <a:alpha val="35000"/>
                </a:srgbClr>
              </a:solidFill>
              <a:prstDash val="lgDashDot"/>
              <a:round/>
            </a:ln>
            <a:effectLst/>
          </c:spPr>
        </c:majorGridlines>
        <c:numFmt formatCode="_(* #,##0_);_(* \(#,##0\);_(* &quot;-&quot;??_);_(@_)" sourceLinked="1"/>
        <c:majorTickMark val="none"/>
        <c:minorTickMark val="none"/>
        <c:tickLblPos val="nextTo"/>
        <c:crossAx val="1291045664"/>
        <c:crosses val="autoZero"/>
        <c:crossBetween val="between"/>
      </c:valAx>
      <c:spPr>
        <a:noFill/>
        <a:ln cap="rnd">
          <a:noFill/>
        </a:ln>
        <a:effectLst/>
      </c:spPr>
    </c:plotArea>
    <c:legend>
      <c:legendPos val="b"/>
      <c:layout>
        <c:manualLayout>
          <c:xMode val="edge"/>
          <c:yMode val="edge"/>
          <c:x val="2.6897143579272934E-2"/>
          <c:y val="0.6529142939865884"/>
          <c:w val="0.92383685320372566"/>
          <c:h val="0.240048625275029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 (2).xlsx]PivotTables!regions</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PivotTables!$V$4</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PivotTables!$U$5:$U$10</c:f>
              <c:strCache>
                <c:ptCount val="5"/>
                <c:pt idx="0">
                  <c:v>AJK</c:v>
                </c:pt>
                <c:pt idx="1">
                  <c:v>Balochistan</c:v>
                </c:pt>
                <c:pt idx="2">
                  <c:v>KPK</c:v>
                </c:pt>
                <c:pt idx="3">
                  <c:v>Punjab</c:v>
                </c:pt>
                <c:pt idx="4">
                  <c:v>Sindh</c:v>
                </c:pt>
              </c:strCache>
            </c:strRef>
          </c:cat>
          <c:val>
            <c:numRef>
              <c:f>PivotTables!$V$5:$V$10</c:f>
              <c:numCache>
                <c:formatCode>General</c:formatCode>
                <c:ptCount val="5"/>
                <c:pt idx="0">
                  <c:v>13</c:v>
                </c:pt>
                <c:pt idx="1">
                  <c:v>12</c:v>
                </c:pt>
                <c:pt idx="2">
                  <c:v>7</c:v>
                </c:pt>
                <c:pt idx="3">
                  <c:v>8</c:v>
                </c:pt>
                <c:pt idx="4">
                  <c:v>10</c:v>
                </c:pt>
              </c:numCache>
            </c:numRef>
          </c:val>
        </c:ser>
        <c:dLbls>
          <c:dLblPos val="outEnd"/>
          <c:showLegendKey val="0"/>
          <c:showVal val="1"/>
          <c:showCatName val="0"/>
          <c:showSerName val="0"/>
          <c:showPercent val="0"/>
          <c:showBubbleSize val="0"/>
        </c:dLbls>
        <c:gapWidth val="25"/>
        <c:axId val="1291047840"/>
        <c:axId val="1291047296"/>
      </c:barChart>
      <c:catAx>
        <c:axId val="1291047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1" i="0" u="none" strike="noStrike" kern="1200" baseline="0">
                <a:solidFill>
                  <a:schemeClr val="bg1"/>
                </a:solidFill>
                <a:latin typeface="+mn-lt"/>
                <a:ea typeface="+mn-ea"/>
                <a:cs typeface="+mn-cs"/>
              </a:defRPr>
            </a:pPr>
            <a:endParaRPr lang="en-US"/>
          </a:p>
        </c:txPr>
        <c:crossAx val="1291047296"/>
        <c:crosses val="autoZero"/>
        <c:auto val="1"/>
        <c:lblAlgn val="ctr"/>
        <c:lblOffset val="100"/>
        <c:noMultiLvlLbl val="0"/>
      </c:catAx>
      <c:valAx>
        <c:axId val="1291047296"/>
        <c:scaling>
          <c:orientation val="minMax"/>
        </c:scaling>
        <c:delete val="1"/>
        <c:axPos val="b"/>
        <c:numFmt formatCode="General" sourceLinked="1"/>
        <c:majorTickMark val="none"/>
        <c:minorTickMark val="none"/>
        <c:tickLblPos val="nextTo"/>
        <c:crossAx val="12910478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lgn="ctr">
        <a:defRPr lang="en-US" sz="90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36286</xdr:colOff>
      <xdr:row>0</xdr:row>
      <xdr:rowOff>29349</xdr:rowOff>
    </xdr:from>
    <xdr:to>
      <xdr:col>17</xdr:col>
      <xdr:colOff>106390</xdr:colOff>
      <xdr:row>34</xdr:row>
      <xdr:rowOff>59322</xdr:rowOff>
    </xdr:to>
    <xdr:sp macro="" textlink="">
      <xdr:nvSpPr>
        <xdr:cNvPr id="2" name="Rounded Rectangle 1"/>
        <xdr:cNvSpPr/>
      </xdr:nvSpPr>
      <xdr:spPr>
        <a:xfrm>
          <a:off x="36286" y="29349"/>
          <a:ext cx="10402461" cy="6225759"/>
        </a:xfrm>
        <a:prstGeom prst="roundRect">
          <a:avLst>
            <a:gd name="adj" fmla="val 2471"/>
          </a:avLst>
        </a:prstGeom>
        <a:solidFill>
          <a:srgbClr val="1F1F1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8</xdr:col>
      <xdr:colOff>63499</xdr:colOff>
      <xdr:row>19</xdr:row>
      <xdr:rowOff>154214</xdr:rowOff>
    </xdr:from>
    <xdr:to>
      <xdr:col>12</xdr:col>
      <xdr:colOff>73804</xdr:colOff>
      <xdr:row>33</xdr:row>
      <xdr:rowOff>54790</xdr:rowOff>
    </xdr:to>
    <xdr:sp macro="" textlink="">
      <xdr:nvSpPr>
        <xdr:cNvPr id="8" name="Rounded Rectangle 7"/>
        <xdr:cNvSpPr/>
      </xdr:nvSpPr>
      <xdr:spPr>
        <a:xfrm>
          <a:off x="4925785" y="3601357"/>
          <a:ext cx="2441448" cy="2440576"/>
        </a:xfrm>
        <a:prstGeom prst="roundRect">
          <a:avLst>
            <a:gd name="adj" fmla="val 6038"/>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63500</xdr:colOff>
      <xdr:row>31</xdr:row>
      <xdr:rowOff>117928</xdr:rowOff>
    </xdr:from>
    <xdr:to>
      <xdr:col>11</xdr:col>
      <xdr:colOff>607278</xdr:colOff>
      <xdr:row>33</xdr:row>
      <xdr:rowOff>1960</xdr:rowOff>
    </xdr:to>
    <xdr:sp macro="" textlink="">
      <xdr:nvSpPr>
        <xdr:cNvPr id="6" name="Rounded Rectangle 5"/>
        <xdr:cNvSpPr/>
      </xdr:nvSpPr>
      <xdr:spPr>
        <a:xfrm>
          <a:off x="6141357" y="5742214"/>
          <a:ext cx="1151564" cy="246889"/>
        </a:xfrm>
        <a:prstGeom prst="roundRect">
          <a:avLst/>
        </a:prstGeom>
        <a:solidFill>
          <a:srgbClr val="1F1F1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63500</xdr:colOff>
      <xdr:row>30</xdr:row>
      <xdr:rowOff>16116</xdr:rowOff>
    </xdr:from>
    <xdr:to>
      <xdr:col>11</xdr:col>
      <xdr:colOff>607278</xdr:colOff>
      <xdr:row>31</xdr:row>
      <xdr:rowOff>81576</xdr:rowOff>
    </xdr:to>
    <xdr:sp macro="" textlink="">
      <xdr:nvSpPr>
        <xdr:cNvPr id="67" name="Rounded Rectangle 66"/>
        <xdr:cNvSpPr/>
      </xdr:nvSpPr>
      <xdr:spPr>
        <a:xfrm>
          <a:off x="6189382" y="5641469"/>
          <a:ext cx="1156367" cy="252225"/>
        </a:xfrm>
        <a:prstGeom prst="roundRect">
          <a:avLst/>
        </a:prstGeom>
        <a:solidFill>
          <a:srgbClr val="1F1F1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50161</xdr:colOff>
      <xdr:row>28</xdr:row>
      <xdr:rowOff>53577</xdr:rowOff>
    </xdr:from>
    <xdr:to>
      <xdr:col>11</xdr:col>
      <xdr:colOff>607811</xdr:colOff>
      <xdr:row>29</xdr:row>
      <xdr:rowOff>156883</xdr:rowOff>
    </xdr:to>
    <xdr:sp macro="" textlink="">
      <xdr:nvSpPr>
        <xdr:cNvPr id="68" name="Rounded Rectangle 67"/>
        <xdr:cNvSpPr/>
      </xdr:nvSpPr>
      <xdr:spPr>
        <a:xfrm>
          <a:off x="6176043" y="5305401"/>
          <a:ext cx="1170239" cy="290070"/>
        </a:xfrm>
        <a:prstGeom prst="roundRect">
          <a:avLst/>
        </a:prstGeom>
        <a:solidFill>
          <a:srgbClr val="1F1F1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46959</xdr:colOff>
      <xdr:row>26</xdr:row>
      <xdr:rowOff>98502</xdr:rowOff>
    </xdr:from>
    <xdr:to>
      <xdr:col>11</xdr:col>
      <xdr:colOff>599807</xdr:colOff>
      <xdr:row>28</xdr:row>
      <xdr:rowOff>9604</xdr:rowOff>
    </xdr:to>
    <xdr:sp macro="" textlink="">
      <xdr:nvSpPr>
        <xdr:cNvPr id="69" name="Rounded Rectangle 68"/>
        <xdr:cNvSpPr/>
      </xdr:nvSpPr>
      <xdr:spPr>
        <a:xfrm>
          <a:off x="6172841" y="4976796"/>
          <a:ext cx="1165437" cy="284632"/>
        </a:xfrm>
        <a:prstGeom prst="roundRect">
          <a:avLst/>
        </a:prstGeom>
        <a:solidFill>
          <a:srgbClr val="1F1F1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32015</xdr:colOff>
      <xdr:row>24</xdr:row>
      <xdr:rowOff>163712</xdr:rowOff>
    </xdr:from>
    <xdr:to>
      <xdr:col>11</xdr:col>
      <xdr:colOff>575793</xdr:colOff>
      <xdr:row>26</xdr:row>
      <xdr:rowOff>42408</xdr:rowOff>
    </xdr:to>
    <xdr:sp macro="" textlink="">
      <xdr:nvSpPr>
        <xdr:cNvPr id="70" name="Rounded Rectangle 69"/>
        <xdr:cNvSpPr/>
      </xdr:nvSpPr>
      <xdr:spPr>
        <a:xfrm>
          <a:off x="6157897" y="4668477"/>
          <a:ext cx="1156367" cy="252225"/>
        </a:xfrm>
        <a:prstGeom prst="roundRect">
          <a:avLst/>
        </a:prstGeom>
        <a:solidFill>
          <a:srgbClr val="1F1F1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44824</xdr:colOff>
      <xdr:row>23</xdr:row>
      <xdr:rowOff>18145</xdr:rowOff>
    </xdr:from>
    <xdr:to>
      <xdr:col>11</xdr:col>
      <xdr:colOff>569391</xdr:colOff>
      <xdr:row>24</xdr:row>
      <xdr:rowOff>67235</xdr:rowOff>
    </xdr:to>
    <xdr:sp macro="" textlink="">
      <xdr:nvSpPr>
        <xdr:cNvPr id="71" name="Rounded Rectangle 70"/>
        <xdr:cNvSpPr/>
      </xdr:nvSpPr>
      <xdr:spPr>
        <a:xfrm>
          <a:off x="6170706" y="4336145"/>
          <a:ext cx="1137156" cy="235855"/>
        </a:xfrm>
        <a:prstGeom prst="roundRect">
          <a:avLst/>
        </a:prstGeom>
        <a:solidFill>
          <a:srgbClr val="E5B24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0</xdr:col>
      <xdr:colOff>196369</xdr:colOff>
      <xdr:row>20</xdr:row>
      <xdr:rowOff>119530</xdr:rowOff>
    </xdr:from>
    <xdr:to>
      <xdr:col>3</xdr:col>
      <xdr:colOff>274964</xdr:colOff>
      <xdr:row>33</xdr:row>
      <xdr:rowOff>83245</xdr:rowOff>
    </xdr:to>
    <xdr:sp macro="" textlink="">
      <xdr:nvSpPr>
        <xdr:cNvPr id="3" name="Rounded Rectangle 2"/>
        <xdr:cNvSpPr/>
      </xdr:nvSpPr>
      <xdr:spPr>
        <a:xfrm>
          <a:off x="196369" y="3854824"/>
          <a:ext cx="1916360" cy="2391656"/>
        </a:xfrm>
        <a:prstGeom prst="roundRect">
          <a:avLst>
            <a:gd name="adj" fmla="val 6038"/>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203839</xdr:colOff>
      <xdr:row>6</xdr:row>
      <xdr:rowOff>37354</xdr:rowOff>
    </xdr:from>
    <xdr:to>
      <xdr:col>3</xdr:col>
      <xdr:colOff>282434</xdr:colOff>
      <xdr:row>19</xdr:row>
      <xdr:rowOff>135005</xdr:rowOff>
    </xdr:to>
    <xdr:sp macro="" textlink="">
      <xdr:nvSpPr>
        <xdr:cNvPr id="4" name="Rounded Rectangle 3"/>
        <xdr:cNvSpPr/>
      </xdr:nvSpPr>
      <xdr:spPr>
        <a:xfrm>
          <a:off x="203839" y="1157942"/>
          <a:ext cx="1916360" cy="2548004"/>
        </a:xfrm>
        <a:prstGeom prst="roundRect">
          <a:avLst>
            <a:gd name="adj" fmla="val 6038"/>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505065</xdr:colOff>
      <xdr:row>20</xdr:row>
      <xdr:rowOff>86445</xdr:rowOff>
    </xdr:from>
    <xdr:to>
      <xdr:col>7</xdr:col>
      <xdr:colOff>515370</xdr:colOff>
      <xdr:row>33</xdr:row>
      <xdr:rowOff>59593</xdr:rowOff>
    </xdr:to>
    <xdr:sp macro="" textlink="">
      <xdr:nvSpPr>
        <xdr:cNvPr id="5" name="Rounded Rectangle 4"/>
        <xdr:cNvSpPr/>
      </xdr:nvSpPr>
      <xdr:spPr>
        <a:xfrm>
          <a:off x="2342830" y="3821739"/>
          <a:ext cx="2460658" cy="2401089"/>
        </a:xfrm>
        <a:prstGeom prst="roundRect">
          <a:avLst>
            <a:gd name="adj" fmla="val 6038"/>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81642</xdr:colOff>
      <xdr:row>6</xdr:row>
      <xdr:rowOff>44824</xdr:rowOff>
    </xdr:from>
    <xdr:to>
      <xdr:col>12</xdr:col>
      <xdr:colOff>91947</xdr:colOff>
      <xdr:row>19</xdr:row>
      <xdr:rowOff>54792</xdr:rowOff>
    </xdr:to>
    <xdr:sp macro="" textlink="">
      <xdr:nvSpPr>
        <xdr:cNvPr id="9" name="Rounded Rectangle 8"/>
        <xdr:cNvSpPr/>
      </xdr:nvSpPr>
      <xdr:spPr>
        <a:xfrm>
          <a:off x="4982348" y="1165412"/>
          <a:ext cx="2460658" cy="2437909"/>
        </a:xfrm>
        <a:prstGeom prst="roundRect">
          <a:avLst>
            <a:gd name="adj" fmla="val 5428"/>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455437</xdr:colOff>
      <xdr:row>6</xdr:row>
      <xdr:rowOff>52294</xdr:rowOff>
    </xdr:from>
    <xdr:to>
      <xdr:col>7</xdr:col>
      <xdr:colOff>463175</xdr:colOff>
      <xdr:row>12</xdr:row>
      <xdr:rowOff>169155</xdr:rowOff>
    </xdr:to>
    <xdr:sp macro="" textlink="">
      <xdr:nvSpPr>
        <xdr:cNvPr id="10" name="Rounded Rectangle 9"/>
        <xdr:cNvSpPr/>
      </xdr:nvSpPr>
      <xdr:spPr>
        <a:xfrm>
          <a:off x="2293202" y="1172882"/>
          <a:ext cx="2458091" cy="1237449"/>
        </a:xfrm>
        <a:prstGeom prst="roundRect">
          <a:avLst>
            <a:gd name="adj" fmla="val 6038"/>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485321</xdr:colOff>
      <xdr:row>13</xdr:row>
      <xdr:rowOff>72570</xdr:rowOff>
    </xdr:from>
    <xdr:to>
      <xdr:col>5</xdr:col>
      <xdr:colOff>440181</xdr:colOff>
      <xdr:row>19</xdr:row>
      <xdr:rowOff>62990</xdr:rowOff>
    </xdr:to>
    <xdr:sp macro="" textlink="">
      <xdr:nvSpPr>
        <xdr:cNvPr id="13" name="Rounded Rectangle 12"/>
        <xdr:cNvSpPr/>
      </xdr:nvSpPr>
      <xdr:spPr>
        <a:xfrm>
          <a:off x="2323086" y="2500511"/>
          <a:ext cx="1180036" cy="1111008"/>
        </a:xfrm>
        <a:prstGeom prst="roundRect">
          <a:avLst>
            <a:gd name="adj" fmla="val 11923"/>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503464</xdr:colOff>
      <xdr:row>13</xdr:row>
      <xdr:rowOff>80042</xdr:rowOff>
    </xdr:from>
    <xdr:to>
      <xdr:col>7</xdr:col>
      <xdr:colOff>458325</xdr:colOff>
      <xdr:row>19</xdr:row>
      <xdr:rowOff>70462</xdr:rowOff>
    </xdr:to>
    <xdr:sp macro="" textlink="">
      <xdr:nvSpPr>
        <xdr:cNvPr id="14" name="Rounded Rectangle 13"/>
        <xdr:cNvSpPr/>
      </xdr:nvSpPr>
      <xdr:spPr>
        <a:xfrm>
          <a:off x="3566405" y="2507983"/>
          <a:ext cx="1180038" cy="1111008"/>
        </a:xfrm>
        <a:prstGeom prst="roundRect">
          <a:avLst>
            <a:gd name="adj" fmla="val 12764"/>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353783</xdr:colOff>
      <xdr:row>27</xdr:row>
      <xdr:rowOff>71728</xdr:rowOff>
    </xdr:from>
    <xdr:to>
      <xdr:col>14</xdr:col>
      <xdr:colOff>293324</xdr:colOff>
      <xdr:row>33</xdr:row>
      <xdr:rowOff>51654</xdr:rowOff>
    </xdr:to>
    <xdr:sp macro="" textlink="">
      <xdr:nvSpPr>
        <xdr:cNvPr id="15" name="Rounded Rectangle 14"/>
        <xdr:cNvSpPr/>
      </xdr:nvSpPr>
      <xdr:spPr>
        <a:xfrm>
          <a:off x="7647212" y="4970299"/>
          <a:ext cx="1155112" cy="1068498"/>
        </a:xfrm>
        <a:prstGeom prst="roundRect">
          <a:avLst>
            <a:gd name="adj" fmla="val 13605"/>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440179</xdr:colOff>
      <xdr:row>27</xdr:row>
      <xdr:rowOff>60405</xdr:rowOff>
    </xdr:from>
    <xdr:to>
      <xdr:col>16</xdr:col>
      <xdr:colOff>379720</xdr:colOff>
      <xdr:row>33</xdr:row>
      <xdr:rowOff>40331</xdr:rowOff>
    </xdr:to>
    <xdr:sp macro="" textlink="">
      <xdr:nvSpPr>
        <xdr:cNvPr id="16" name="Rounded Rectangle 15"/>
        <xdr:cNvSpPr/>
      </xdr:nvSpPr>
      <xdr:spPr>
        <a:xfrm>
          <a:off x="9016414" y="5103052"/>
          <a:ext cx="1164718" cy="1100514"/>
        </a:xfrm>
        <a:prstGeom prst="roundRect">
          <a:avLst>
            <a:gd name="adj" fmla="val 13605"/>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441458</xdr:colOff>
      <xdr:row>20</xdr:row>
      <xdr:rowOff>172357</xdr:rowOff>
    </xdr:from>
    <xdr:to>
      <xdr:col>16</xdr:col>
      <xdr:colOff>380999</xdr:colOff>
      <xdr:row>26</xdr:row>
      <xdr:rowOff>152283</xdr:rowOff>
    </xdr:to>
    <xdr:sp macro="" textlink="">
      <xdr:nvSpPr>
        <xdr:cNvPr id="17" name="Rounded Rectangle 16"/>
        <xdr:cNvSpPr/>
      </xdr:nvSpPr>
      <xdr:spPr>
        <a:xfrm>
          <a:off x="8950458" y="3800928"/>
          <a:ext cx="1155112" cy="1068498"/>
        </a:xfrm>
        <a:prstGeom prst="roundRect">
          <a:avLst>
            <a:gd name="adj" fmla="val 13605"/>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380997</xdr:colOff>
      <xdr:row>9</xdr:row>
      <xdr:rowOff>40384</xdr:rowOff>
    </xdr:from>
    <xdr:to>
      <xdr:col>16</xdr:col>
      <xdr:colOff>491887</xdr:colOff>
      <xdr:row>18</xdr:row>
      <xdr:rowOff>62591</xdr:rowOff>
    </xdr:to>
    <xdr:sp macro="" textlink="">
      <xdr:nvSpPr>
        <xdr:cNvPr id="19" name="Rounded Rectangle 18"/>
        <xdr:cNvSpPr/>
      </xdr:nvSpPr>
      <xdr:spPr>
        <a:xfrm>
          <a:off x="7674426" y="1673241"/>
          <a:ext cx="2542032" cy="1655064"/>
        </a:xfrm>
        <a:prstGeom prst="roundRect">
          <a:avLst>
            <a:gd name="adj" fmla="val 8893"/>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FFFF"/>
            </a:solidFill>
          </a:endParaRPr>
        </a:p>
      </xdr:txBody>
    </xdr:sp>
    <xdr:clientData/>
  </xdr:twoCellAnchor>
  <xdr:twoCellAnchor>
    <xdr:from>
      <xdr:col>12</xdr:col>
      <xdr:colOff>356985</xdr:colOff>
      <xdr:row>0</xdr:row>
      <xdr:rowOff>164887</xdr:rowOff>
    </xdr:from>
    <xdr:to>
      <xdr:col>16</xdr:col>
      <xdr:colOff>467875</xdr:colOff>
      <xdr:row>8</xdr:row>
      <xdr:rowOff>96378</xdr:rowOff>
    </xdr:to>
    <xdr:sp macro="" textlink="">
      <xdr:nvSpPr>
        <xdr:cNvPr id="20" name="Rounded Rectangle 19"/>
        <xdr:cNvSpPr/>
      </xdr:nvSpPr>
      <xdr:spPr>
        <a:xfrm>
          <a:off x="7708044" y="164887"/>
          <a:ext cx="2561243" cy="1425609"/>
        </a:xfrm>
        <a:prstGeom prst="roundRect">
          <a:avLst>
            <a:gd name="adj" fmla="val 8893"/>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462643</xdr:colOff>
      <xdr:row>21</xdr:row>
      <xdr:rowOff>18144</xdr:rowOff>
    </xdr:from>
    <xdr:to>
      <xdr:col>16</xdr:col>
      <xdr:colOff>54922</xdr:colOff>
      <xdr:row>24</xdr:row>
      <xdr:rowOff>82871</xdr:rowOff>
    </xdr:to>
    <xdr:sp macro="" textlink="">
      <xdr:nvSpPr>
        <xdr:cNvPr id="24" name="TextBox 23"/>
        <xdr:cNvSpPr txBox="1"/>
      </xdr:nvSpPr>
      <xdr:spPr>
        <a:xfrm>
          <a:off x="8971643" y="3828144"/>
          <a:ext cx="807850"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solidFill>
                <a:schemeClr val="bg1">
                  <a:lumMod val="95000"/>
                </a:schemeClr>
              </a:solidFill>
              <a:latin typeface="Cambria" panose="02040503050406030204" pitchFamily="18" charset="0"/>
              <a:ea typeface="Cambria" panose="02040503050406030204" pitchFamily="18" charset="0"/>
            </a:rPr>
            <a:t>Part</a:t>
          </a:r>
        </a:p>
        <a:p>
          <a:r>
            <a:rPr lang="en-US" sz="1100">
              <a:solidFill>
                <a:schemeClr val="bg1">
                  <a:lumMod val="95000"/>
                </a:schemeClr>
              </a:solidFill>
              <a:latin typeface="Cambria" panose="02040503050406030204" pitchFamily="18" charset="0"/>
              <a:ea typeface="Cambria" panose="02040503050406030204" pitchFamily="18" charset="0"/>
            </a:rPr>
            <a:t>time</a:t>
          </a:r>
        </a:p>
        <a:p>
          <a:r>
            <a:rPr lang="en-US" sz="1100">
              <a:solidFill>
                <a:schemeClr val="bg1">
                  <a:lumMod val="95000"/>
                </a:schemeClr>
              </a:solidFill>
              <a:latin typeface="Cambria" panose="02040503050406030204" pitchFamily="18" charset="0"/>
              <a:ea typeface="Cambria" panose="02040503050406030204" pitchFamily="18" charset="0"/>
            </a:rPr>
            <a:t>employees</a:t>
          </a:r>
        </a:p>
      </xdr:txBody>
    </xdr:sp>
    <xdr:clientData/>
  </xdr:twoCellAnchor>
  <xdr:twoCellAnchor>
    <xdr:from>
      <xdr:col>15</xdr:col>
      <xdr:colOff>397540</xdr:colOff>
      <xdr:row>23</xdr:row>
      <xdr:rowOff>149411</xdr:rowOff>
    </xdr:from>
    <xdr:to>
      <xdr:col>16</xdr:col>
      <xdr:colOff>390432</xdr:colOff>
      <xdr:row>27</xdr:row>
      <xdr:rowOff>11664</xdr:rowOff>
    </xdr:to>
    <xdr:sp macro="" textlink="PivotTables!C13">
      <xdr:nvSpPr>
        <xdr:cNvPr id="25" name="TextBox 24"/>
        <xdr:cNvSpPr txBox="1"/>
      </xdr:nvSpPr>
      <xdr:spPr>
        <a:xfrm>
          <a:off x="9586364" y="4444999"/>
          <a:ext cx="605480" cy="6093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fld id="{4FEC7409-049B-44D2-B291-4404067B9674}" type="TxLink">
            <a:rPr lang="en-US" sz="3200" b="1" i="0" u="none" strike="noStrike">
              <a:solidFill>
                <a:schemeClr val="bg1">
                  <a:lumMod val="95000"/>
                </a:schemeClr>
              </a:solidFill>
              <a:latin typeface="Calibri"/>
              <a:ea typeface="Calibri"/>
              <a:cs typeface="Calibri"/>
            </a:rPr>
            <a:pPr algn="r"/>
            <a:t>13</a:t>
          </a:fld>
          <a:endParaRPr lang="en-US" sz="3200" b="1">
            <a:solidFill>
              <a:schemeClr val="bg1">
                <a:lumMod val="95000"/>
              </a:schemeClr>
            </a:solidFill>
          </a:endParaRPr>
        </a:p>
      </xdr:txBody>
    </xdr:sp>
    <xdr:clientData/>
  </xdr:twoCellAnchor>
  <xdr:twoCellAnchor>
    <xdr:from>
      <xdr:col>14</xdr:col>
      <xdr:colOff>480786</xdr:colOff>
      <xdr:row>27</xdr:row>
      <xdr:rowOff>108858</xdr:rowOff>
    </xdr:from>
    <xdr:to>
      <xdr:col>16</xdr:col>
      <xdr:colOff>73065</xdr:colOff>
      <xdr:row>30</xdr:row>
      <xdr:rowOff>173585</xdr:rowOff>
    </xdr:to>
    <xdr:sp macro="" textlink="">
      <xdr:nvSpPr>
        <xdr:cNvPr id="29" name="TextBox 28"/>
        <xdr:cNvSpPr txBox="1"/>
      </xdr:nvSpPr>
      <xdr:spPr>
        <a:xfrm>
          <a:off x="8989786" y="5007429"/>
          <a:ext cx="807850"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solidFill>
                <a:schemeClr val="bg1">
                  <a:lumMod val="95000"/>
                </a:schemeClr>
              </a:solidFill>
              <a:latin typeface="Cambria" panose="02040503050406030204" pitchFamily="18" charset="0"/>
              <a:ea typeface="Cambria" panose="02040503050406030204" pitchFamily="18" charset="0"/>
            </a:rPr>
            <a:t>Full</a:t>
          </a:r>
        </a:p>
        <a:p>
          <a:r>
            <a:rPr lang="en-US" sz="1100">
              <a:solidFill>
                <a:schemeClr val="bg1">
                  <a:lumMod val="95000"/>
                </a:schemeClr>
              </a:solidFill>
              <a:latin typeface="Cambria" panose="02040503050406030204" pitchFamily="18" charset="0"/>
              <a:ea typeface="Cambria" panose="02040503050406030204" pitchFamily="18" charset="0"/>
            </a:rPr>
            <a:t>time</a:t>
          </a:r>
        </a:p>
        <a:p>
          <a:r>
            <a:rPr lang="en-US" sz="1100">
              <a:solidFill>
                <a:schemeClr val="bg1">
                  <a:lumMod val="95000"/>
                </a:schemeClr>
              </a:solidFill>
              <a:latin typeface="Cambria" panose="02040503050406030204" pitchFamily="18" charset="0"/>
              <a:ea typeface="Cambria" panose="02040503050406030204" pitchFamily="18" charset="0"/>
            </a:rPr>
            <a:t>employees</a:t>
          </a:r>
        </a:p>
      </xdr:txBody>
    </xdr:sp>
    <xdr:clientData/>
  </xdr:twoCellAnchor>
  <xdr:twoCellAnchor>
    <xdr:from>
      <xdr:col>15</xdr:col>
      <xdr:colOff>353784</xdr:colOff>
      <xdr:row>30</xdr:row>
      <xdr:rowOff>54429</xdr:rowOff>
    </xdr:from>
    <xdr:to>
      <xdr:col>16</xdr:col>
      <xdr:colOff>346676</xdr:colOff>
      <xdr:row>33</xdr:row>
      <xdr:rowOff>103447</xdr:rowOff>
    </xdr:to>
    <xdr:sp macro="" textlink="PivotTables!C12">
      <xdr:nvSpPr>
        <xdr:cNvPr id="30" name="TextBox 29"/>
        <xdr:cNvSpPr txBox="1"/>
      </xdr:nvSpPr>
      <xdr:spPr>
        <a:xfrm>
          <a:off x="9470570" y="5497286"/>
          <a:ext cx="600677"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fld id="{83EE13EF-DCE9-405A-AAAD-5EB167252D66}" type="TxLink">
            <a:rPr lang="en-US" sz="3200" b="1" i="0" u="none" strike="noStrike">
              <a:solidFill>
                <a:schemeClr val="bg1"/>
              </a:solidFill>
              <a:latin typeface="Calibri"/>
              <a:ea typeface="Calibri"/>
              <a:cs typeface="Calibri"/>
            </a:rPr>
            <a:pPr algn="r"/>
            <a:t>20</a:t>
          </a:fld>
          <a:endParaRPr lang="en-US" sz="3200" b="1">
            <a:solidFill>
              <a:schemeClr val="bg1"/>
            </a:solidFill>
          </a:endParaRPr>
        </a:p>
      </xdr:txBody>
    </xdr:sp>
    <xdr:clientData/>
  </xdr:twoCellAnchor>
  <xdr:twoCellAnchor>
    <xdr:from>
      <xdr:col>12</xdr:col>
      <xdr:colOff>390072</xdr:colOff>
      <xdr:row>27</xdr:row>
      <xdr:rowOff>99787</xdr:rowOff>
    </xdr:from>
    <xdr:to>
      <xdr:col>13</xdr:col>
      <xdr:colOff>590137</xdr:colOff>
      <xdr:row>30</xdr:row>
      <xdr:rowOff>164514</xdr:rowOff>
    </xdr:to>
    <xdr:sp macro="" textlink="">
      <xdr:nvSpPr>
        <xdr:cNvPr id="31" name="TextBox 30"/>
        <xdr:cNvSpPr txBox="1"/>
      </xdr:nvSpPr>
      <xdr:spPr>
        <a:xfrm>
          <a:off x="7683501" y="4998358"/>
          <a:ext cx="807850"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solidFill>
                <a:schemeClr val="bg1">
                  <a:lumMod val="95000"/>
                </a:schemeClr>
              </a:solidFill>
              <a:latin typeface="Cambria" panose="02040503050406030204" pitchFamily="18" charset="0"/>
              <a:ea typeface="Cambria" panose="02040503050406030204" pitchFamily="18" charset="0"/>
            </a:rPr>
            <a:t>Employees</a:t>
          </a:r>
          <a:r>
            <a:rPr lang="en-US" sz="1100" baseline="0">
              <a:solidFill>
                <a:schemeClr val="bg1">
                  <a:lumMod val="95000"/>
                </a:schemeClr>
              </a:solidFill>
              <a:latin typeface="Cambria" panose="02040503050406030204" pitchFamily="18" charset="0"/>
              <a:ea typeface="Cambria" panose="02040503050406030204" pitchFamily="18" charset="0"/>
            </a:rPr>
            <a:t> </a:t>
          </a:r>
        </a:p>
        <a:p>
          <a:r>
            <a:rPr lang="en-US" sz="1100" baseline="0">
              <a:solidFill>
                <a:schemeClr val="bg1">
                  <a:lumMod val="95000"/>
                </a:schemeClr>
              </a:solidFill>
              <a:latin typeface="Cambria" panose="02040503050406030204" pitchFamily="18" charset="0"/>
              <a:ea typeface="Cambria" panose="02040503050406030204" pitchFamily="18" charset="0"/>
            </a:rPr>
            <a:t>with </a:t>
          </a:r>
        </a:p>
        <a:p>
          <a:r>
            <a:rPr lang="en-US" sz="1100" baseline="0">
              <a:solidFill>
                <a:schemeClr val="bg1">
                  <a:lumMod val="95000"/>
                </a:schemeClr>
              </a:solidFill>
              <a:latin typeface="Cambria" panose="02040503050406030204" pitchFamily="18" charset="0"/>
              <a:ea typeface="Cambria" panose="02040503050406030204" pitchFamily="18" charset="0"/>
            </a:rPr>
            <a:t>contracts</a:t>
          </a:r>
          <a:endParaRPr lang="en-US" sz="1100">
            <a:solidFill>
              <a:schemeClr val="bg1">
                <a:lumMod val="95000"/>
              </a:schemeClr>
            </a:solidFill>
            <a:latin typeface="Cambria" panose="02040503050406030204" pitchFamily="18" charset="0"/>
            <a:ea typeface="Cambria" panose="02040503050406030204" pitchFamily="18" charset="0"/>
          </a:endParaRPr>
        </a:p>
      </xdr:txBody>
    </xdr:sp>
    <xdr:clientData/>
  </xdr:twoCellAnchor>
  <xdr:twoCellAnchor>
    <xdr:from>
      <xdr:col>13</xdr:col>
      <xdr:colOff>253999</xdr:colOff>
      <xdr:row>30</xdr:row>
      <xdr:rowOff>36286</xdr:rowOff>
    </xdr:from>
    <xdr:to>
      <xdr:col>14</xdr:col>
      <xdr:colOff>246890</xdr:colOff>
      <xdr:row>33</xdr:row>
      <xdr:rowOff>85304</xdr:rowOff>
    </xdr:to>
    <xdr:sp macro="" textlink="PivotTables!C11">
      <xdr:nvSpPr>
        <xdr:cNvPr id="32" name="TextBox 31"/>
        <xdr:cNvSpPr txBox="1"/>
      </xdr:nvSpPr>
      <xdr:spPr>
        <a:xfrm>
          <a:off x="8155213" y="5479143"/>
          <a:ext cx="600677"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fld id="{0442ABB4-2EA4-4587-AAB3-8284A080121A}" type="TxLink">
            <a:rPr lang="en-US" sz="3200" b="1" i="0" u="none" strike="noStrike">
              <a:solidFill>
                <a:schemeClr val="bg1"/>
              </a:solidFill>
              <a:latin typeface="Calibri"/>
              <a:ea typeface="Calibri"/>
              <a:cs typeface="Calibri"/>
            </a:rPr>
            <a:pPr algn="r"/>
            <a:t>17</a:t>
          </a:fld>
          <a:endParaRPr lang="en-US" sz="3200" b="1">
            <a:solidFill>
              <a:schemeClr val="bg1"/>
            </a:solidFill>
          </a:endParaRPr>
        </a:p>
      </xdr:txBody>
    </xdr:sp>
    <xdr:clientData/>
  </xdr:twoCellAnchor>
  <xdr:twoCellAnchor>
    <xdr:from>
      <xdr:col>8</xdr:col>
      <xdr:colOff>136070</xdr:colOff>
      <xdr:row>23</xdr:row>
      <xdr:rowOff>36288</xdr:rowOff>
    </xdr:from>
    <xdr:to>
      <xdr:col>9</xdr:col>
      <xdr:colOff>580570</xdr:colOff>
      <xdr:row>25</xdr:row>
      <xdr:rowOff>54429</xdr:rowOff>
    </xdr:to>
    <xdr:sp macro="" textlink="">
      <xdr:nvSpPr>
        <xdr:cNvPr id="33" name="TextBox 32"/>
        <xdr:cNvSpPr txBox="1"/>
      </xdr:nvSpPr>
      <xdr:spPr>
        <a:xfrm>
          <a:off x="4998356" y="4209145"/>
          <a:ext cx="1052285" cy="380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lumMod val="95000"/>
                </a:schemeClr>
              </a:solidFill>
              <a:latin typeface="Cambria" panose="02040503050406030204" pitchFamily="18" charset="0"/>
              <a:ea typeface="Cambria" panose="02040503050406030204" pitchFamily="18" charset="0"/>
            </a:rPr>
            <a:t>Total</a:t>
          </a:r>
          <a:r>
            <a:rPr lang="en-US" sz="1100" b="1" baseline="0">
              <a:solidFill>
                <a:schemeClr val="bg1">
                  <a:lumMod val="95000"/>
                </a:schemeClr>
              </a:solidFill>
              <a:latin typeface="Cambria" panose="02040503050406030204" pitchFamily="18" charset="0"/>
              <a:ea typeface="Cambria" panose="02040503050406030204" pitchFamily="18" charset="0"/>
            </a:rPr>
            <a:t> Salaries</a:t>
          </a:r>
          <a:endParaRPr lang="en-US" sz="1100" b="1">
            <a:solidFill>
              <a:schemeClr val="bg1">
                <a:lumMod val="95000"/>
              </a:schemeClr>
            </a:solidFill>
            <a:latin typeface="Cambria" panose="02040503050406030204" pitchFamily="18" charset="0"/>
            <a:ea typeface="Cambria" panose="02040503050406030204" pitchFamily="18" charset="0"/>
          </a:endParaRPr>
        </a:p>
      </xdr:txBody>
    </xdr:sp>
    <xdr:clientData/>
  </xdr:twoCellAnchor>
  <xdr:twoCellAnchor>
    <xdr:from>
      <xdr:col>8</xdr:col>
      <xdr:colOff>163285</xdr:colOff>
      <xdr:row>24</xdr:row>
      <xdr:rowOff>146959</xdr:rowOff>
    </xdr:from>
    <xdr:to>
      <xdr:col>9</xdr:col>
      <xdr:colOff>607785</xdr:colOff>
      <xdr:row>26</xdr:row>
      <xdr:rowOff>165100</xdr:rowOff>
    </xdr:to>
    <xdr:sp macro="" textlink="">
      <xdr:nvSpPr>
        <xdr:cNvPr id="34" name="TextBox 33"/>
        <xdr:cNvSpPr txBox="1"/>
      </xdr:nvSpPr>
      <xdr:spPr>
        <a:xfrm>
          <a:off x="5025571" y="4501245"/>
          <a:ext cx="1052285" cy="380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solidFill>
                <a:schemeClr val="bg1">
                  <a:lumMod val="95000"/>
                </a:schemeClr>
              </a:solidFill>
              <a:latin typeface="Cambria" panose="02040503050406030204" pitchFamily="18" charset="0"/>
              <a:ea typeface="Cambria" panose="02040503050406030204" pitchFamily="18" charset="0"/>
            </a:rPr>
            <a:t>Managers</a:t>
          </a:r>
        </a:p>
      </xdr:txBody>
    </xdr:sp>
    <xdr:clientData/>
  </xdr:twoCellAnchor>
  <xdr:twoCellAnchor>
    <xdr:from>
      <xdr:col>8</xdr:col>
      <xdr:colOff>154212</xdr:colOff>
      <xdr:row>26</xdr:row>
      <xdr:rowOff>76201</xdr:rowOff>
    </xdr:from>
    <xdr:to>
      <xdr:col>9</xdr:col>
      <xdr:colOff>598712</xdr:colOff>
      <xdr:row>28</xdr:row>
      <xdr:rowOff>94342</xdr:rowOff>
    </xdr:to>
    <xdr:sp macro="" textlink="">
      <xdr:nvSpPr>
        <xdr:cNvPr id="35" name="TextBox 34"/>
        <xdr:cNvSpPr txBox="1"/>
      </xdr:nvSpPr>
      <xdr:spPr>
        <a:xfrm>
          <a:off x="5016498" y="4793344"/>
          <a:ext cx="1052285" cy="380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solidFill>
                <a:schemeClr val="bg1">
                  <a:lumMod val="95000"/>
                </a:schemeClr>
              </a:solidFill>
              <a:latin typeface="Cambria" panose="02040503050406030204" pitchFamily="18" charset="0"/>
              <a:ea typeface="Cambria" panose="02040503050406030204" pitchFamily="18" charset="0"/>
            </a:rPr>
            <a:t>HR</a:t>
          </a:r>
          <a:r>
            <a:rPr lang="en-US" sz="1100" baseline="0">
              <a:solidFill>
                <a:schemeClr val="bg1">
                  <a:lumMod val="95000"/>
                </a:schemeClr>
              </a:solidFill>
              <a:latin typeface="Cambria" panose="02040503050406030204" pitchFamily="18" charset="0"/>
              <a:ea typeface="Cambria" panose="02040503050406030204" pitchFamily="18" charset="0"/>
            </a:rPr>
            <a:t> Specialists</a:t>
          </a:r>
          <a:endParaRPr lang="en-US" sz="1100">
            <a:solidFill>
              <a:schemeClr val="bg1">
                <a:lumMod val="95000"/>
              </a:schemeClr>
            </a:solidFill>
            <a:latin typeface="Cambria" panose="02040503050406030204" pitchFamily="18" charset="0"/>
            <a:ea typeface="Cambria" panose="02040503050406030204" pitchFamily="18" charset="0"/>
          </a:endParaRPr>
        </a:p>
      </xdr:txBody>
    </xdr:sp>
    <xdr:clientData/>
  </xdr:twoCellAnchor>
  <xdr:twoCellAnchor>
    <xdr:from>
      <xdr:col>8</xdr:col>
      <xdr:colOff>154214</xdr:colOff>
      <xdr:row>27</xdr:row>
      <xdr:rowOff>177802</xdr:rowOff>
    </xdr:from>
    <xdr:to>
      <xdr:col>9</xdr:col>
      <xdr:colOff>598714</xdr:colOff>
      <xdr:row>30</xdr:row>
      <xdr:rowOff>14514</xdr:rowOff>
    </xdr:to>
    <xdr:sp macro="" textlink="">
      <xdr:nvSpPr>
        <xdr:cNvPr id="36" name="TextBox 35"/>
        <xdr:cNvSpPr txBox="1"/>
      </xdr:nvSpPr>
      <xdr:spPr>
        <a:xfrm>
          <a:off x="5016500" y="5076373"/>
          <a:ext cx="1052285" cy="380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solidFill>
                <a:schemeClr val="bg1">
                  <a:lumMod val="95000"/>
                </a:schemeClr>
              </a:solidFill>
              <a:latin typeface="Cambria" panose="02040503050406030204" pitchFamily="18" charset="0"/>
              <a:ea typeface="Cambria" panose="02040503050406030204" pitchFamily="18" charset="0"/>
            </a:rPr>
            <a:t>Developers</a:t>
          </a:r>
        </a:p>
      </xdr:txBody>
    </xdr:sp>
    <xdr:clientData/>
  </xdr:twoCellAnchor>
  <xdr:twoCellAnchor>
    <xdr:from>
      <xdr:col>8</xdr:col>
      <xdr:colOff>154212</xdr:colOff>
      <xdr:row>29</xdr:row>
      <xdr:rowOff>134257</xdr:rowOff>
    </xdr:from>
    <xdr:to>
      <xdr:col>9</xdr:col>
      <xdr:colOff>598712</xdr:colOff>
      <xdr:row>31</xdr:row>
      <xdr:rowOff>152398</xdr:rowOff>
    </xdr:to>
    <xdr:sp macro="" textlink="">
      <xdr:nvSpPr>
        <xdr:cNvPr id="37" name="TextBox 36"/>
        <xdr:cNvSpPr txBox="1"/>
      </xdr:nvSpPr>
      <xdr:spPr>
        <a:xfrm>
          <a:off x="5016498" y="5395686"/>
          <a:ext cx="1052285" cy="380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solidFill>
                <a:schemeClr val="bg1">
                  <a:lumMod val="95000"/>
                </a:schemeClr>
              </a:solidFill>
              <a:latin typeface="Cambria" panose="02040503050406030204" pitchFamily="18" charset="0"/>
              <a:ea typeface="Cambria" panose="02040503050406030204" pitchFamily="18" charset="0"/>
            </a:rPr>
            <a:t>Designers</a:t>
          </a:r>
        </a:p>
      </xdr:txBody>
    </xdr:sp>
    <xdr:clientData/>
  </xdr:twoCellAnchor>
  <xdr:twoCellAnchor>
    <xdr:from>
      <xdr:col>8</xdr:col>
      <xdr:colOff>163286</xdr:colOff>
      <xdr:row>31</xdr:row>
      <xdr:rowOff>45358</xdr:rowOff>
    </xdr:from>
    <xdr:to>
      <xdr:col>10</xdr:col>
      <xdr:colOff>18142</xdr:colOff>
      <xdr:row>33</xdr:row>
      <xdr:rowOff>63499</xdr:rowOff>
    </xdr:to>
    <xdr:sp macro="" textlink="">
      <xdr:nvSpPr>
        <xdr:cNvPr id="38" name="TextBox 37"/>
        <xdr:cNvSpPr txBox="1"/>
      </xdr:nvSpPr>
      <xdr:spPr>
        <a:xfrm>
          <a:off x="5025572" y="5669644"/>
          <a:ext cx="1070427" cy="380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solidFill>
                <a:schemeClr val="bg1">
                  <a:lumMod val="95000"/>
                </a:schemeClr>
              </a:solidFill>
              <a:latin typeface="Cambria" panose="02040503050406030204" pitchFamily="18" charset="0"/>
              <a:ea typeface="Cambria" panose="02040503050406030204" pitchFamily="18" charset="0"/>
            </a:rPr>
            <a:t>Analysts</a:t>
          </a:r>
        </a:p>
      </xdr:txBody>
    </xdr:sp>
    <xdr:clientData/>
  </xdr:twoCellAnchor>
  <xdr:twoCellAnchor>
    <xdr:from>
      <xdr:col>10</xdr:col>
      <xdr:colOff>99783</xdr:colOff>
      <xdr:row>22</xdr:row>
      <xdr:rowOff>117931</xdr:rowOff>
    </xdr:from>
    <xdr:to>
      <xdr:col>11</xdr:col>
      <xdr:colOff>544282</xdr:colOff>
      <xdr:row>24</xdr:row>
      <xdr:rowOff>136072</xdr:rowOff>
    </xdr:to>
    <xdr:sp macro="" textlink="">
      <xdr:nvSpPr>
        <xdr:cNvPr id="28" name="TextBox 27"/>
        <xdr:cNvSpPr txBox="1"/>
      </xdr:nvSpPr>
      <xdr:spPr>
        <a:xfrm>
          <a:off x="6177640" y="4109360"/>
          <a:ext cx="1052285" cy="380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endParaRPr lang="en-US" sz="1100">
            <a:solidFill>
              <a:schemeClr val="bg1">
                <a:lumMod val="95000"/>
              </a:schemeClr>
            </a:solidFill>
            <a:latin typeface="Cambria" panose="02040503050406030204" pitchFamily="18" charset="0"/>
            <a:ea typeface="Cambria" panose="02040503050406030204" pitchFamily="18" charset="0"/>
          </a:endParaRPr>
        </a:p>
      </xdr:txBody>
    </xdr:sp>
    <xdr:clientData/>
  </xdr:twoCellAnchor>
  <xdr:twoCellAnchor>
    <xdr:from>
      <xdr:col>10</xdr:col>
      <xdr:colOff>163285</xdr:colOff>
      <xdr:row>22</xdr:row>
      <xdr:rowOff>172362</xdr:rowOff>
    </xdr:from>
    <xdr:to>
      <xdr:col>11</xdr:col>
      <xdr:colOff>607784</xdr:colOff>
      <xdr:row>25</xdr:row>
      <xdr:rowOff>9075</xdr:rowOff>
    </xdr:to>
    <xdr:sp macro="" textlink="PivotTables!G18">
      <xdr:nvSpPr>
        <xdr:cNvPr id="56" name="TextBox 55"/>
        <xdr:cNvSpPr txBox="1"/>
      </xdr:nvSpPr>
      <xdr:spPr>
        <a:xfrm>
          <a:off x="6241142" y="4163791"/>
          <a:ext cx="1052285" cy="380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fld id="{A724F905-15DB-4F8D-B964-59C22BBAA226}" type="TxLink">
            <a:rPr lang="en-US" sz="1400" b="1" i="0" u="none" strike="noStrike">
              <a:solidFill>
                <a:schemeClr val="tx1"/>
              </a:solidFill>
              <a:latin typeface="Calibri"/>
              <a:ea typeface="Calibri"/>
              <a:cs typeface="Calibri"/>
            </a:rPr>
            <a:pPr algn="r"/>
            <a:t> 3,104,913 </a:t>
          </a:fld>
          <a:endParaRPr lang="en-US" sz="1400" b="1">
            <a:solidFill>
              <a:schemeClr val="tx1"/>
            </a:solidFill>
            <a:latin typeface="Cambria" panose="02040503050406030204" pitchFamily="18" charset="0"/>
            <a:ea typeface="Cambria" panose="02040503050406030204" pitchFamily="18" charset="0"/>
          </a:endParaRPr>
        </a:p>
      </xdr:txBody>
    </xdr:sp>
    <xdr:clientData/>
  </xdr:twoCellAnchor>
  <xdr:twoCellAnchor>
    <xdr:from>
      <xdr:col>10</xdr:col>
      <xdr:colOff>163286</xdr:colOff>
      <xdr:row>24</xdr:row>
      <xdr:rowOff>120278</xdr:rowOff>
    </xdr:from>
    <xdr:to>
      <xdr:col>12</xdr:col>
      <xdr:colOff>0</xdr:colOff>
      <xdr:row>26</xdr:row>
      <xdr:rowOff>143756</xdr:rowOff>
    </xdr:to>
    <xdr:sp macro="" textlink="PivotTables!G17">
      <xdr:nvSpPr>
        <xdr:cNvPr id="57" name="TextBox 56"/>
        <xdr:cNvSpPr txBox="1"/>
      </xdr:nvSpPr>
      <xdr:spPr>
        <a:xfrm>
          <a:off x="6289168" y="4625043"/>
          <a:ext cx="1061891" cy="3970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fld id="{75FF05B6-17BF-4169-AE36-AEC5C29C7474}" type="TxLink">
            <a:rPr lang="en-US" sz="1400" b="0" i="0" u="none" strike="noStrike">
              <a:solidFill>
                <a:schemeClr val="bg1"/>
              </a:solidFill>
              <a:latin typeface="Calibri"/>
              <a:ea typeface="Calibri"/>
              <a:cs typeface="Calibri"/>
            </a:rPr>
            <a:pPr algn="r"/>
            <a:t> 731,170 </a:t>
          </a:fld>
          <a:endParaRPr lang="en-US" sz="1400" b="0">
            <a:solidFill>
              <a:schemeClr val="bg1"/>
            </a:solidFill>
            <a:latin typeface="Cambria" panose="02040503050406030204" pitchFamily="18" charset="0"/>
            <a:ea typeface="Cambria" panose="02040503050406030204" pitchFamily="18" charset="0"/>
          </a:endParaRPr>
        </a:p>
      </xdr:txBody>
    </xdr:sp>
    <xdr:clientData/>
  </xdr:twoCellAnchor>
  <xdr:twoCellAnchor>
    <xdr:from>
      <xdr:col>10</xdr:col>
      <xdr:colOff>181426</xdr:colOff>
      <xdr:row>26</xdr:row>
      <xdr:rowOff>91675</xdr:rowOff>
    </xdr:from>
    <xdr:to>
      <xdr:col>12</xdr:col>
      <xdr:colOff>18139</xdr:colOff>
      <xdr:row>28</xdr:row>
      <xdr:rowOff>109816</xdr:rowOff>
    </xdr:to>
    <xdr:sp macro="" textlink="PivotTables!G16">
      <xdr:nvSpPr>
        <xdr:cNvPr id="58" name="TextBox 57"/>
        <xdr:cNvSpPr txBox="1"/>
      </xdr:nvSpPr>
      <xdr:spPr>
        <a:xfrm>
          <a:off x="6307308" y="4969969"/>
          <a:ext cx="1061890" cy="3916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fld id="{82189CEC-89C8-434D-B919-EA71ED6D55A4}" type="TxLink">
            <a:rPr lang="en-US" sz="1400" b="0" i="0" u="none" strike="noStrike">
              <a:solidFill>
                <a:schemeClr val="bg1"/>
              </a:solidFill>
              <a:latin typeface="Calibri"/>
              <a:ea typeface="Calibri"/>
              <a:cs typeface="Calibri"/>
            </a:rPr>
            <a:pPr algn="r"/>
            <a:t> 959,266 </a:t>
          </a:fld>
          <a:endParaRPr lang="en-US" sz="1400" b="0">
            <a:solidFill>
              <a:schemeClr val="bg1"/>
            </a:solidFill>
            <a:latin typeface="Cambria" panose="02040503050406030204" pitchFamily="18" charset="0"/>
            <a:ea typeface="Cambria" panose="02040503050406030204" pitchFamily="18" charset="0"/>
          </a:endParaRPr>
        </a:p>
      </xdr:txBody>
    </xdr:sp>
    <xdr:clientData/>
  </xdr:twoCellAnchor>
  <xdr:twoCellAnchor>
    <xdr:from>
      <xdr:col>10</xdr:col>
      <xdr:colOff>190500</xdr:colOff>
      <xdr:row>28</xdr:row>
      <xdr:rowOff>37461</xdr:rowOff>
    </xdr:from>
    <xdr:to>
      <xdr:col>12</xdr:col>
      <xdr:colOff>27213</xdr:colOff>
      <xdr:row>30</xdr:row>
      <xdr:rowOff>55602</xdr:rowOff>
    </xdr:to>
    <xdr:sp macro="" textlink="PivotTables!G15">
      <xdr:nvSpPr>
        <xdr:cNvPr id="59" name="TextBox 58"/>
        <xdr:cNvSpPr txBox="1"/>
      </xdr:nvSpPr>
      <xdr:spPr>
        <a:xfrm>
          <a:off x="6316382" y="5289285"/>
          <a:ext cx="1061890" cy="3916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fld id="{52C005BC-0642-4816-9D12-8E80ECAB59F8}" type="TxLink">
            <a:rPr lang="en-US" sz="1400" b="0" i="0" u="none" strike="noStrike">
              <a:solidFill>
                <a:schemeClr val="bg1"/>
              </a:solidFill>
              <a:latin typeface="Calibri"/>
              <a:ea typeface="Calibri"/>
              <a:cs typeface="Calibri"/>
            </a:rPr>
            <a:pPr algn="r"/>
            <a:t> 633,594 </a:t>
          </a:fld>
          <a:endParaRPr lang="en-US" sz="1400" b="0">
            <a:solidFill>
              <a:schemeClr val="bg1"/>
            </a:solidFill>
            <a:latin typeface="Cambria" panose="02040503050406030204" pitchFamily="18" charset="0"/>
            <a:ea typeface="Cambria" panose="02040503050406030204" pitchFamily="18" charset="0"/>
          </a:endParaRPr>
        </a:p>
      </xdr:txBody>
    </xdr:sp>
    <xdr:clientData/>
  </xdr:twoCellAnchor>
  <xdr:twoCellAnchor>
    <xdr:from>
      <xdr:col>10</xdr:col>
      <xdr:colOff>208641</xdr:colOff>
      <xdr:row>29</xdr:row>
      <xdr:rowOff>144929</xdr:rowOff>
    </xdr:from>
    <xdr:to>
      <xdr:col>12</xdr:col>
      <xdr:colOff>45354</xdr:colOff>
      <xdr:row>31</xdr:row>
      <xdr:rowOff>163070</xdr:rowOff>
    </xdr:to>
    <xdr:sp macro="" textlink="PivotTables!G14">
      <xdr:nvSpPr>
        <xdr:cNvPr id="60" name="TextBox 59"/>
        <xdr:cNvSpPr txBox="1"/>
      </xdr:nvSpPr>
      <xdr:spPr>
        <a:xfrm>
          <a:off x="6334523" y="5583517"/>
          <a:ext cx="1061890" cy="3916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fld id="{B5D0E5F8-DACC-4F40-9023-B689BA6A8FBF}" type="TxLink">
            <a:rPr lang="en-US" sz="1400" b="0" i="0" u="none" strike="noStrike">
              <a:solidFill>
                <a:schemeClr val="bg1"/>
              </a:solidFill>
              <a:latin typeface="Calibri"/>
              <a:ea typeface="Calibri"/>
              <a:cs typeface="Calibri"/>
            </a:rPr>
            <a:pPr algn="r"/>
            <a:t> 613,842 </a:t>
          </a:fld>
          <a:endParaRPr lang="en-US" sz="1400" b="0">
            <a:solidFill>
              <a:schemeClr val="bg1"/>
            </a:solidFill>
            <a:latin typeface="Cambria" panose="02040503050406030204" pitchFamily="18" charset="0"/>
            <a:ea typeface="Cambria" panose="02040503050406030204" pitchFamily="18" charset="0"/>
          </a:endParaRPr>
        </a:p>
      </xdr:txBody>
    </xdr:sp>
    <xdr:clientData/>
  </xdr:twoCellAnchor>
  <xdr:twoCellAnchor>
    <xdr:from>
      <xdr:col>10</xdr:col>
      <xdr:colOff>217715</xdr:colOff>
      <xdr:row>31</xdr:row>
      <xdr:rowOff>63501</xdr:rowOff>
    </xdr:from>
    <xdr:to>
      <xdr:col>12</xdr:col>
      <xdr:colOff>72570</xdr:colOff>
      <xdr:row>33</xdr:row>
      <xdr:rowOff>81642</xdr:rowOff>
    </xdr:to>
    <xdr:sp macro="" textlink="PivotTables!G13">
      <xdr:nvSpPr>
        <xdr:cNvPr id="61" name="TextBox 60"/>
        <xdr:cNvSpPr txBox="1"/>
      </xdr:nvSpPr>
      <xdr:spPr>
        <a:xfrm>
          <a:off x="6295572" y="5687787"/>
          <a:ext cx="1070427" cy="380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fld id="{82D778D4-7645-4345-8545-4C93DB5EE26E}" type="TxLink">
            <a:rPr lang="en-US" sz="1400" b="0" i="0" u="none" strike="noStrike">
              <a:solidFill>
                <a:schemeClr val="bg1"/>
              </a:solidFill>
              <a:latin typeface="Calibri"/>
              <a:ea typeface="Calibri"/>
              <a:cs typeface="Calibri"/>
            </a:rPr>
            <a:pPr algn="r"/>
            <a:t> 167,041 </a:t>
          </a:fld>
          <a:endParaRPr lang="en-US" sz="1400" b="0">
            <a:solidFill>
              <a:schemeClr val="bg1"/>
            </a:solidFill>
            <a:latin typeface="Cambria" panose="02040503050406030204" pitchFamily="18" charset="0"/>
            <a:ea typeface="Cambria" panose="02040503050406030204" pitchFamily="18" charset="0"/>
          </a:endParaRPr>
        </a:p>
      </xdr:txBody>
    </xdr:sp>
    <xdr:clientData/>
  </xdr:twoCellAnchor>
  <xdr:twoCellAnchor>
    <xdr:from>
      <xdr:col>8</xdr:col>
      <xdr:colOff>181427</xdr:colOff>
      <xdr:row>20</xdr:row>
      <xdr:rowOff>18146</xdr:rowOff>
    </xdr:from>
    <xdr:to>
      <xdr:col>10</xdr:col>
      <xdr:colOff>18141</xdr:colOff>
      <xdr:row>22</xdr:row>
      <xdr:rowOff>36286</xdr:rowOff>
    </xdr:to>
    <xdr:sp macro="" textlink="">
      <xdr:nvSpPr>
        <xdr:cNvPr id="72" name="TextBox 71"/>
        <xdr:cNvSpPr txBox="1"/>
      </xdr:nvSpPr>
      <xdr:spPr>
        <a:xfrm>
          <a:off x="5082133" y="3753440"/>
          <a:ext cx="1061890" cy="3916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b="1">
              <a:solidFill>
                <a:srgbClr val="E5B244"/>
              </a:solidFill>
              <a:latin typeface="Cambria" panose="02040503050406030204" pitchFamily="18" charset="0"/>
              <a:ea typeface="Cambria" panose="02040503050406030204" pitchFamily="18" charset="0"/>
            </a:rPr>
            <a:t>Salaries</a:t>
          </a:r>
        </a:p>
        <a:p>
          <a:endParaRPr lang="en-US" sz="1100" b="1">
            <a:solidFill>
              <a:schemeClr val="bg1">
                <a:lumMod val="95000"/>
              </a:schemeClr>
            </a:solidFill>
            <a:latin typeface="Cambria" panose="02040503050406030204" pitchFamily="18" charset="0"/>
            <a:ea typeface="Cambria" panose="02040503050406030204" pitchFamily="18" charset="0"/>
          </a:endParaRPr>
        </a:p>
      </xdr:txBody>
    </xdr:sp>
    <xdr:clientData/>
  </xdr:twoCellAnchor>
  <xdr:twoCellAnchor>
    <xdr:from>
      <xdr:col>8</xdr:col>
      <xdr:colOff>172356</xdr:colOff>
      <xdr:row>21</xdr:row>
      <xdr:rowOff>6407</xdr:rowOff>
    </xdr:from>
    <xdr:to>
      <xdr:col>11</xdr:col>
      <xdr:colOff>199571</xdr:colOff>
      <xdr:row>23</xdr:row>
      <xdr:rowOff>24548</xdr:rowOff>
    </xdr:to>
    <xdr:sp macro="" textlink="">
      <xdr:nvSpPr>
        <xdr:cNvPr id="73" name="TextBox 72"/>
        <xdr:cNvSpPr txBox="1"/>
      </xdr:nvSpPr>
      <xdr:spPr>
        <a:xfrm>
          <a:off x="5073062" y="3928466"/>
          <a:ext cx="1864980" cy="3916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900" b="0">
              <a:solidFill>
                <a:schemeClr val="tx1">
                  <a:lumMod val="50000"/>
                  <a:lumOff val="50000"/>
                </a:schemeClr>
              </a:solidFill>
              <a:latin typeface="Cambria" panose="02040503050406030204" pitchFamily="18" charset="0"/>
              <a:ea typeface="Cambria" panose="02040503050406030204" pitchFamily="18" charset="0"/>
            </a:rPr>
            <a:t>Salary</a:t>
          </a:r>
          <a:r>
            <a:rPr lang="en-US" sz="900" b="0" baseline="0">
              <a:solidFill>
                <a:schemeClr val="tx1">
                  <a:lumMod val="50000"/>
                  <a:lumOff val="50000"/>
                </a:schemeClr>
              </a:solidFill>
              <a:latin typeface="Cambria" panose="02040503050406030204" pitchFamily="18" charset="0"/>
              <a:ea typeface="Cambria" panose="02040503050406030204" pitchFamily="18" charset="0"/>
            </a:rPr>
            <a:t> amount by job titles</a:t>
          </a:r>
          <a:endParaRPr lang="en-US" sz="900" b="0">
            <a:solidFill>
              <a:schemeClr val="tx1">
                <a:lumMod val="50000"/>
                <a:lumOff val="50000"/>
              </a:schemeClr>
            </a:solidFill>
            <a:latin typeface="Cambria" panose="02040503050406030204" pitchFamily="18" charset="0"/>
            <a:ea typeface="Cambria" panose="02040503050406030204" pitchFamily="18" charset="0"/>
          </a:endParaRPr>
        </a:p>
        <a:p>
          <a:endParaRPr lang="en-US" sz="1100" b="1">
            <a:solidFill>
              <a:schemeClr val="bg1">
                <a:lumMod val="95000"/>
              </a:schemeClr>
            </a:solidFill>
            <a:latin typeface="Cambria" panose="02040503050406030204" pitchFamily="18" charset="0"/>
            <a:ea typeface="Cambria" panose="02040503050406030204" pitchFamily="18" charset="0"/>
          </a:endParaRPr>
        </a:p>
      </xdr:txBody>
    </xdr:sp>
    <xdr:clientData/>
  </xdr:twoCellAnchor>
  <xdr:twoCellAnchor>
    <xdr:from>
      <xdr:col>12</xdr:col>
      <xdr:colOff>426356</xdr:colOff>
      <xdr:row>19</xdr:row>
      <xdr:rowOff>18146</xdr:rowOff>
    </xdr:from>
    <xdr:to>
      <xdr:col>16</xdr:col>
      <xdr:colOff>435429</xdr:colOff>
      <xdr:row>21</xdr:row>
      <xdr:rowOff>36287</xdr:rowOff>
    </xdr:to>
    <xdr:sp macro="" textlink="">
      <xdr:nvSpPr>
        <xdr:cNvPr id="74" name="TextBox 73"/>
        <xdr:cNvSpPr txBox="1"/>
      </xdr:nvSpPr>
      <xdr:spPr>
        <a:xfrm>
          <a:off x="7719785" y="3465289"/>
          <a:ext cx="2440215" cy="380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b="1">
              <a:solidFill>
                <a:srgbClr val="E5B244"/>
              </a:solidFill>
              <a:latin typeface="Cambria" panose="02040503050406030204" pitchFamily="18" charset="0"/>
              <a:ea typeface="Cambria" panose="02040503050406030204" pitchFamily="18" charset="0"/>
            </a:rPr>
            <a:t>Employments</a:t>
          </a:r>
          <a:r>
            <a:rPr lang="en-US" sz="1200" b="1" baseline="0">
              <a:solidFill>
                <a:srgbClr val="E5B244"/>
              </a:solidFill>
              <a:latin typeface="Cambria" panose="02040503050406030204" pitchFamily="18" charset="0"/>
              <a:ea typeface="Cambria" panose="02040503050406030204" pitchFamily="18" charset="0"/>
            </a:rPr>
            <a:t>  Status  BreakDown</a:t>
          </a:r>
          <a:endParaRPr lang="en-US" sz="1200" b="1">
            <a:solidFill>
              <a:srgbClr val="E5B244"/>
            </a:solidFill>
            <a:latin typeface="Cambria" panose="02040503050406030204" pitchFamily="18" charset="0"/>
            <a:ea typeface="Cambria" panose="02040503050406030204" pitchFamily="18" charset="0"/>
          </a:endParaRPr>
        </a:p>
        <a:p>
          <a:endParaRPr lang="en-US" sz="1100" b="1">
            <a:solidFill>
              <a:schemeClr val="bg1">
                <a:lumMod val="95000"/>
              </a:schemeClr>
            </a:solidFill>
            <a:latin typeface="Cambria" panose="02040503050406030204" pitchFamily="18" charset="0"/>
            <a:ea typeface="Cambria" panose="02040503050406030204" pitchFamily="18" charset="0"/>
          </a:endParaRPr>
        </a:p>
      </xdr:txBody>
    </xdr:sp>
    <xdr:clientData/>
  </xdr:twoCellAnchor>
  <xdr:twoCellAnchor>
    <xdr:from>
      <xdr:col>12</xdr:col>
      <xdr:colOff>308429</xdr:colOff>
      <xdr:row>20</xdr:row>
      <xdr:rowOff>163287</xdr:rowOff>
    </xdr:from>
    <xdr:to>
      <xdr:col>14</xdr:col>
      <xdr:colOff>408214</xdr:colOff>
      <xdr:row>27</xdr:row>
      <xdr:rowOff>9071</xdr:rowOff>
    </xdr:to>
    <xdr:graphicFrame macro="">
      <xdr:nvGraphicFramePr>
        <xdr:cNvPr id="75" name="Chart 7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127000</xdr:colOff>
      <xdr:row>21</xdr:row>
      <xdr:rowOff>63500</xdr:rowOff>
    </xdr:from>
    <xdr:to>
      <xdr:col>16</xdr:col>
      <xdr:colOff>282448</xdr:colOff>
      <xdr:row>22</xdr:row>
      <xdr:rowOff>37519</xdr:rowOff>
    </xdr:to>
    <xdr:sp macro="" textlink="">
      <xdr:nvSpPr>
        <xdr:cNvPr id="7" name="Oval 6"/>
        <xdr:cNvSpPr/>
      </xdr:nvSpPr>
      <xdr:spPr>
        <a:xfrm>
          <a:off x="9851571" y="3873500"/>
          <a:ext cx="155448" cy="155448"/>
        </a:xfrm>
        <a:prstGeom prst="ellipse">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117928</xdr:colOff>
      <xdr:row>27</xdr:row>
      <xdr:rowOff>163285</xdr:rowOff>
    </xdr:from>
    <xdr:to>
      <xdr:col>16</xdr:col>
      <xdr:colOff>273376</xdr:colOff>
      <xdr:row>28</xdr:row>
      <xdr:rowOff>137304</xdr:rowOff>
    </xdr:to>
    <xdr:sp macro="" textlink="">
      <xdr:nvSpPr>
        <xdr:cNvPr id="76" name="Oval 75"/>
        <xdr:cNvSpPr/>
      </xdr:nvSpPr>
      <xdr:spPr>
        <a:xfrm>
          <a:off x="9842499" y="5061856"/>
          <a:ext cx="155448" cy="155448"/>
        </a:xfrm>
        <a:prstGeom prst="ellipse">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36285</xdr:colOff>
      <xdr:row>27</xdr:row>
      <xdr:rowOff>172357</xdr:rowOff>
    </xdr:from>
    <xdr:to>
      <xdr:col>14</xdr:col>
      <xdr:colOff>191733</xdr:colOff>
      <xdr:row>28</xdr:row>
      <xdr:rowOff>146376</xdr:rowOff>
    </xdr:to>
    <xdr:sp macro="" textlink="">
      <xdr:nvSpPr>
        <xdr:cNvPr id="77" name="Oval 76"/>
        <xdr:cNvSpPr/>
      </xdr:nvSpPr>
      <xdr:spPr>
        <a:xfrm>
          <a:off x="8545285" y="5070928"/>
          <a:ext cx="155448" cy="155448"/>
        </a:xfrm>
        <a:prstGeom prst="ellipse">
          <a:avLst/>
        </a:prstGeom>
        <a:solidFill>
          <a:srgbClr val="E5B24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553357</xdr:colOff>
      <xdr:row>24</xdr:row>
      <xdr:rowOff>9071</xdr:rowOff>
    </xdr:from>
    <xdr:to>
      <xdr:col>7</xdr:col>
      <xdr:colOff>480786</xdr:colOff>
      <xdr:row>33</xdr:row>
      <xdr:rowOff>67127</xdr:rowOff>
    </xdr:to>
    <xdr:graphicFrame macro="">
      <xdr:nvGraphicFramePr>
        <xdr:cNvPr id="79" name="Chart 7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47224</xdr:colOff>
      <xdr:row>20</xdr:row>
      <xdr:rowOff>105655</xdr:rowOff>
    </xdr:from>
    <xdr:to>
      <xdr:col>5</xdr:col>
      <xdr:colOff>496525</xdr:colOff>
      <xdr:row>22</xdr:row>
      <xdr:rowOff>123795</xdr:rowOff>
    </xdr:to>
    <xdr:sp macro="" textlink="">
      <xdr:nvSpPr>
        <xdr:cNvPr id="49" name="TextBox 48"/>
        <xdr:cNvSpPr txBox="1"/>
      </xdr:nvSpPr>
      <xdr:spPr>
        <a:xfrm>
          <a:off x="2497577" y="3840949"/>
          <a:ext cx="1061889" cy="3916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b="1">
              <a:solidFill>
                <a:srgbClr val="E5B244"/>
              </a:solidFill>
              <a:latin typeface="Cambria" panose="02040503050406030204" pitchFamily="18" charset="0"/>
              <a:ea typeface="Cambria" panose="02040503050406030204" pitchFamily="18" charset="0"/>
            </a:rPr>
            <a:t>Age</a:t>
          </a:r>
          <a:r>
            <a:rPr lang="en-US" sz="1200" b="1" baseline="0">
              <a:solidFill>
                <a:srgbClr val="E5B244"/>
              </a:solidFill>
              <a:latin typeface="Cambria" panose="02040503050406030204" pitchFamily="18" charset="0"/>
              <a:ea typeface="Cambria" panose="02040503050406030204" pitchFamily="18" charset="0"/>
            </a:rPr>
            <a:t> Range</a:t>
          </a:r>
          <a:endParaRPr lang="en-US" sz="1200" b="1">
            <a:solidFill>
              <a:srgbClr val="E5B244"/>
            </a:solidFill>
            <a:latin typeface="Cambria" panose="02040503050406030204" pitchFamily="18" charset="0"/>
            <a:ea typeface="Cambria" panose="02040503050406030204" pitchFamily="18" charset="0"/>
          </a:endParaRPr>
        </a:p>
        <a:p>
          <a:endParaRPr lang="en-US" sz="1100" b="1">
            <a:solidFill>
              <a:schemeClr val="bg1">
                <a:lumMod val="95000"/>
              </a:schemeClr>
            </a:solidFill>
            <a:latin typeface="Cambria" panose="02040503050406030204" pitchFamily="18" charset="0"/>
            <a:ea typeface="Cambria" panose="02040503050406030204" pitchFamily="18" charset="0"/>
          </a:endParaRPr>
        </a:p>
      </xdr:txBody>
    </xdr:sp>
    <xdr:clientData/>
  </xdr:twoCellAnchor>
  <xdr:twoCellAnchor>
    <xdr:from>
      <xdr:col>4</xdr:col>
      <xdr:colOff>29083</xdr:colOff>
      <xdr:row>21</xdr:row>
      <xdr:rowOff>114725</xdr:rowOff>
    </xdr:from>
    <xdr:to>
      <xdr:col>7</xdr:col>
      <xdr:colOff>410350</xdr:colOff>
      <xdr:row>23</xdr:row>
      <xdr:rowOff>132869</xdr:rowOff>
    </xdr:to>
    <xdr:sp macro="" textlink="">
      <xdr:nvSpPr>
        <xdr:cNvPr id="50" name="TextBox 49"/>
        <xdr:cNvSpPr txBox="1"/>
      </xdr:nvSpPr>
      <xdr:spPr>
        <a:xfrm>
          <a:off x="2479436" y="4036784"/>
          <a:ext cx="2219032" cy="3916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900" b="0">
              <a:solidFill>
                <a:schemeClr val="tx1">
                  <a:lumMod val="50000"/>
                  <a:lumOff val="50000"/>
                </a:schemeClr>
              </a:solidFill>
              <a:latin typeface="Cambria" panose="02040503050406030204" pitchFamily="18" charset="0"/>
              <a:ea typeface="Cambria" panose="02040503050406030204" pitchFamily="18" charset="0"/>
            </a:rPr>
            <a:t>No.</a:t>
          </a:r>
          <a:r>
            <a:rPr lang="en-US" sz="900" b="0" baseline="0">
              <a:solidFill>
                <a:schemeClr val="tx1">
                  <a:lumMod val="50000"/>
                  <a:lumOff val="50000"/>
                </a:schemeClr>
              </a:solidFill>
              <a:latin typeface="Cambria" panose="02040503050406030204" pitchFamily="18" charset="0"/>
              <a:ea typeface="Cambria" panose="02040503050406030204" pitchFamily="18" charset="0"/>
            </a:rPr>
            <a:t> of employees  according to age ranges</a:t>
          </a:r>
        </a:p>
        <a:p>
          <a:r>
            <a:rPr lang="en-US" sz="900" b="0" baseline="0">
              <a:solidFill>
                <a:schemeClr val="tx1">
                  <a:lumMod val="50000"/>
                  <a:lumOff val="50000"/>
                </a:schemeClr>
              </a:solidFill>
              <a:latin typeface="Cambria" panose="02040503050406030204" pitchFamily="18" charset="0"/>
              <a:ea typeface="Cambria" panose="02040503050406030204" pitchFamily="18" charset="0"/>
            </a:rPr>
            <a:t>and genders</a:t>
          </a:r>
          <a:endParaRPr lang="en-US" sz="900" b="0">
            <a:solidFill>
              <a:schemeClr val="tx1">
                <a:lumMod val="50000"/>
                <a:lumOff val="50000"/>
              </a:schemeClr>
            </a:solidFill>
            <a:latin typeface="Cambria" panose="02040503050406030204" pitchFamily="18" charset="0"/>
            <a:ea typeface="Cambria" panose="02040503050406030204" pitchFamily="18" charset="0"/>
          </a:endParaRPr>
        </a:p>
        <a:p>
          <a:endParaRPr lang="en-US" sz="1100" b="1">
            <a:solidFill>
              <a:schemeClr val="bg1">
                <a:lumMod val="95000"/>
              </a:schemeClr>
            </a:solidFill>
            <a:latin typeface="Cambria" panose="02040503050406030204" pitchFamily="18" charset="0"/>
            <a:ea typeface="Cambria" panose="02040503050406030204" pitchFamily="18" charset="0"/>
          </a:endParaRPr>
        </a:p>
      </xdr:txBody>
    </xdr:sp>
    <xdr:clientData/>
  </xdr:twoCellAnchor>
  <xdr:twoCellAnchor>
    <xdr:from>
      <xdr:col>6</xdr:col>
      <xdr:colOff>553357</xdr:colOff>
      <xdr:row>23</xdr:row>
      <xdr:rowOff>3</xdr:rowOff>
    </xdr:from>
    <xdr:to>
      <xdr:col>8</xdr:col>
      <xdr:colOff>408212</xdr:colOff>
      <xdr:row>25</xdr:row>
      <xdr:rowOff>18144</xdr:rowOff>
    </xdr:to>
    <xdr:sp macro="" textlink="">
      <xdr:nvSpPr>
        <xdr:cNvPr id="51" name="TextBox 50"/>
        <xdr:cNvSpPr txBox="1"/>
      </xdr:nvSpPr>
      <xdr:spPr>
        <a:xfrm>
          <a:off x="4200071" y="4172860"/>
          <a:ext cx="1070427" cy="380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900">
              <a:solidFill>
                <a:schemeClr val="bg1">
                  <a:lumMod val="95000"/>
                </a:schemeClr>
              </a:solidFill>
              <a:latin typeface="Cambria" panose="02040503050406030204" pitchFamily="18" charset="0"/>
              <a:ea typeface="Cambria" panose="02040503050406030204" pitchFamily="18" charset="0"/>
            </a:rPr>
            <a:t>Males</a:t>
          </a:r>
        </a:p>
      </xdr:txBody>
    </xdr:sp>
    <xdr:clientData/>
  </xdr:twoCellAnchor>
  <xdr:twoCellAnchor>
    <xdr:from>
      <xdr:col>6</xdr:col>
      <xdr:colOff>498927</xdr:colOff>
      <xdr:row>23</xdr:row>
      <xdr:rowOff>63500</xdr:rowOff>
    </xdr:from>
    <xdr:to>
      <xdr:col>7</xdr:col>
      <xdr:colOff>9071</xdr:colOff>
      <xdr:row>23</xdr:row>
      <xdr:rowOff>172358</xdr:rowOff>
    </xdr:to>
    <xdr:sp macro="" textlink="">
      <xdr:nvSpPr>
        <xdr:cNvPr id="54" name="Oval 53"/>
        <xdr:cNvSpPr/>
      </xdr:nvSpPr>
      <xdr:spPr>
        <a:xfrm>
          <a:off x="4145641" y="4236357"/>
          <a:ext cx="117930" cy="108858"/>
        </a:xfrm>
        <a:prstGeom prst="ellipse">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444499</xdr:colOff>
      <xdr:row>23</xdr:row>
      <xdr:rowOff>3</xdr:rowOff>
    </xdr:from>
    <xdr:to>
      <xdr:col>6</xdr:col>
      <xdr:colOff>426357</xdr:colOff>
      <xdr:row>25</xdr:row>
      <xdr:rowOff>18144</xdr:rowOff>
    </xdr:to>
    <xdr:sp macro="" textlink="">
      <xdr:nvSpPr>
        <xdr:cNvPr id="55" name="TextBox 54"/>
        <xdr:cNvSpPr txBox="1"/>
      </xdr:nvSpPr>
      <xdr:spPr>
        <a:xfrm>
          <a:off x="3483428" y="4172860"/>
          <a:ext cx="589643" cy="380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900">
              <a:solidFill>
                <a:schemeClr val="bg1">
                  <a:lumMod val="95000"/>
                </a:schemeClr>
              </a:solidFill>
              <a:latin typeface="Cambria" panose="02040503050406030204" pitchFamily="18" charset="0"/>
              <a:ea typeface="Cambria" panose="02040503050406030204" pitchFamily="18" charset="0"/>
            </a:rPr>
            <a:t>Females</a:t>
          </a:r>
        </a:p>
      </xdr:txBody>
    </xdr:sp>
    <xdr:clientData/>
  </xdr:twoCellAnchor>
  <xdr:twoCellAnchor>
    <xdr:from>
      <xdr:col>5</xdr:col>
      <xdr:colOff>380998</xdr:colOff>
      <xdr:row>23</xdr:row>
      <xdr:rowOff>63499</xdr:rowOff>
    </xdr:from>
    <xdr:to>
      <xdr:col>5</xdr:col>
      <xdr:colOff>498928</xdr:colOff>
      <xdr:row>23</xdr:row>
      <xdr:rowOff>172357</xdr:rowOff>
    </xdr:to>
    <xdr:sp macro="" textlink="">
      <xdr:nvSpPr>
        <xdr:cNvPr id="62" name="Oval 61"/>
        <xdr:cNvSpPr/>
      </xdr:nvSpPr>
      <xdr:spPr>
        <a:xfrm>
          <a:off x="3419927" y="4236356"/>
          <a:ext cx="117930" cy="108858"/>
        </a:xfrm>
        <a:prstGeom prst="ellipse">
          <a:avLst/>
        </a:prstGeom>
        <a:solidFill>
          <a:srgbClr val="E5B24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244928</xdr:colOff>
      <xdr:row>24</xdr:row>
      <xdr:rowOff>92851</xdr:rowOff>
    </xdr:from>
    <xdr:to>
      <xdr:col>2</xdr:col>
      <xdr:colOff>480786</xdr:colOff>
      <xdr:row>27</xdr:row>
      <xdr:rowOff>129133</xdr:rowOff>
    </xdr:to>
    <xdr:graphicFrame macro="">
      <xdr:nvGraphicFramePr>
        <xdr:cNvPr id="64" name="Chart 6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235857</xdr:colOff>
      <xdr:row>27</xdr:row>
      <xdr:rowOff>14942</xdr:rowOff>
    </xdr:from>
    <xdr:to>
      <xdr:col>2</xdr:col>
      <xdr:colOff>417285</xdr:colOff>
      <xdr:row>30</xdr:row>
      <xdr:rowOff>42155</xdr:rowOff>
    </xdr:to>
    <xdr:graphicFrame macro="">
      <xdr:nvGraphicFramePr>
        <xdr:cNvPr id="65" name="Chart 6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244929</xdr:colOff>
      <xdr:row>29</xdr:row>
      <xdr:rowOff>83778</xdr:rowOff>
    </xdr:from>
    <xdr:to>
      <xdr:col>2</xdr:col>
      <xdr:colOff>435430</xdr:colOff>
      <xdr:row>32</xdr:row>
      <xdr:rowOff>110992</xdr:rowOff>
    </xdr:to>
    <xdr:graphicFrame macro="">
      <xdr:nvGraphicFramePr>
        <xdr:cNvPr id="66" name="Chart 6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272142</xdr:colOff>
      <xdr:row>24</xdr:row>
      <xdr:rowOff>85592</xdr:rowOff>
    </xdr:from>
    <xdr:to>
      <xdr:col>2</xdr:col>
      <xdr:colOff>108856</xdr:colOff>
      <xdr:row>25</xdr:row>
      <xdr:rowOff>120062</xdr:rowOff>
    </xdr:to>
    <xdr:sp macro="" textlink="">
      <xdr:nvSpPr>
        <xdr:cNvPr id="78" name="TextBox 77"/>
        <xdr:cNvSpPr txBox="1"/>
      </xdr:nvSpPr>
      <xdr:spPr>
        <a:xfrm>
          <a:off x="272142" y="4567945"/>
          <a:ext cx="1061890" cy="2212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US" sz="1050">
              <a:solidFill>
                <a:schemeClr val="bg1">
                  <a:lumMod val="95000"/>
                </a:schemeClr>
              </a:solidFill>
              <a:latin typeface="Cambria" panose="02040503050406030204" pitchFamily="18" charset="0"/>
              <a:ea typeface="Cambria" panose="02040503050406030204" pitchFamily="18" charset="0"/>
            </a:rPr>
            <a:t>Branch</a:t>
          </a:r>
          <a:r>
            <a:rPr lang="en-US" sz="1050" baseline="0">
              <a:solidFill>
                <a:schemeClr val="bg1">
                  <a:lumMod val="95000"/>
                </a:schemeClr>
              </a:solidFill>
              <a:latin typeface="Cambria" panose="02040503050406030204" pitchFamily="18" charset="0"/>
              <a:ea typeface="Cambria" panose="02040503050406030204" pitchFamily="18" charset="0"/>
            </a:rPr>
            <a:t> Office</a:t>
          </a:r>
          <a:endParaRPr lang="en-US" sz="1050">
            <a:solidFill>
              <a:schemeClr val="bg1">
                <a:lumMod val="95000"/>
              </a:schemeClr>
            </a:solidFill>
            <a:latin typeface="Cambria" panose="02040503050406030204" pitchFamily="18" charset="0"/>
            <a:ea typeface="Cambria" panose="02040503050406030204" pitchFamily="18" charset="0"/>
          </a:endParaRPr>
        </a:p>
        <a:p>
          <a:pPr algn="l"/>
          <a:endParaRPr lang="en-US" sz="1050">
            <a:solidFill>
              <a:schemeClr val="bg1">
                <a:lumMod val="95000"/>
              </a:schemeClr>
            </a:solidFill>
            <a:latin typeface="Cambria" panose="02040503050406030204" pitchFamily="18" charset="0"/>
            <a:ea typeface="Cambria" panose="02040503050406030204" pitchFamily="18" charset="0"/>
          </a:endParaRPr>
        </a:p>
        <a:p>
          <a:pPr algn="l"/>
          <a:endParaRPr lang="en-US" sz="1050">
            <a:solidFill>
              <a:schemeClr val="bg1">
                <a:lumMod val="95000"/>
              </a:schemeClr>
            </a:solidFill>
            <a:latin typeface="Cambria" panose="02040503050406030204" pitchFamily="18" charset="0"/>
            <a:ea typeface="Cambria" panose="02040503050406030204" pitchFamily="18" charset="0"/>
          </a:endParaRPr>
        </a:p>
      </xdr:txBody>
    </xdr:sp>
    <xdr:clientData/>
  </xdr:twoCellAnchor>
  <xdr:twoCellAnchor>
    <xdr:from>
      <xdr:col>0</xdr:col>
      <xdr:colOff>263068</xdr:colOff>
      <xdr:row>27</xdr:row>
      <xdr:rowOff>9501</xdr:rowOff>
    </xdr:from>
    <xdr:to>
      <xdr:col>2</xdr:col>
      <xdr:colOff>99782</xdr:colOff>
      <xdr:row>28</xdr:row>
      <xdr:rowOff>60299</xdr:rowOff>
    </xdr:to>
    <xdr:sp macro="" textlink="">
      <xdr:nvSpPr>
        <xdr:cNvPr id="80" name="TextBox 79"/>
        <xdr:cNvSpPr txBox="1"/>
      </xdr:nvSpPr>
      <xdr:spPr>
        <a:xfrm>
          <a:off x="263068" y="5052148"/>
          <a:ext cx="1061890" cy="2375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US" sz="1050">
              <a:solidFill>
                <a:schemeClr val="bg1">
                  <a:lumMod val="95000"/>
                </a:schemeClr>
              </a:solidFill>
              <a:latin typeface="Cambria" panose="02040503050406030204" pitchFamily="18" charset="0"/>
              <a:ea typeface="Cambria" panose="02040503050406030204" pitchFamily="18" charset="0"/>
            </a:rPr>
            <a:t>Head</a:t>
          </a:r>
          <a:r>
            <a:rPr lang="en-US" sz="1050" baseline="0">
              <a:solidFill>
                <a:schemeClr val="bg1">
                  <a:lumMod val="95000"/>
                </a:schemeClr>
              </a:solidFill>
              <a:latin typeface="Cambria" panose="02040503050406030204" pitchFamily="18" charset="0"/>
              <a:ea typeface="Cambria" panose="02040503050406030204" pitchFamily="18" charset="0"/>
            </a:rPr>
            <a:t> Office</a:t>
          </a:r>
          <a:endParaRPr lang="en-US" sz="1050">
            <a:solidFill>
              <a:schemeClr val="bg1">
                <a:lumMod val="95000"/>
              </a:schemeClr>
            </a:solidFill>
            <a:latin typeface="Cambria" panose="02040503050406030204" pitchFamily="18" charset="0"/>
            <a:ea typeface="Cambria" panose="02040503050406030204" pitchFamily="18" charset="0"/>
          </a:endParaRPr>
        </a:p>
      </xdr:txBody>
    </xdr:sp>
    <xdr:clientData/>
  </xdr:twoCellAnchor>
  <xdr:twoCellAnchor>
    <xdr:from>
      <xdr:col>0</xdr:col>
      <xdr:colOff>281217</xdr:colOff>
      <xdr:row>29</xdr:row>
      <xdr:rowOff>56669</xdr:rowOff>
    </xdr:from>
    <xdr:to>
      <xdr:col>2</xdr:col>
      <xdr:colOff>117931</xdr:colOff>
      <xdr:row>30</xdr:row>
      <xdr:rowOff>138204</xdr:rowOff>
    </xdr:to>
    <xdr:sp macro="" textlink="">
      <xdr:nvSpPr>
        <xdr:cNvPr id="81" name="TextBox 80"/>
        <xdr:cNvSpPr txBox="1"/>
      </xdr:nvSpPr>
      <xdr:spPr>
        <a:xfrm>
          <a:off x="281217" y="5472845"/>
          <a:ext cx="1061890" cy="268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US" sz="1050">
              <a:solidFill>
                <a:schemeClr val="bg1">
                  <a:lumMod val="95000"/>
                </a:schemeClr>
              </a:solidFill>
              <a:latin typeface="Cambria" panose="02040503050406030204" pitchFamily="18" charset="0"/>
              <a:ea typeface="Cambria" panose="02040503050406030204" pitchFamily="18" charset="0"/>
            </a:rPr>
            <a:t>Remote</a:t>
          </a:r>
        </a:p>
      </xdr:txBody>
    </xdr:sp>
    <xdr:clientData/>
  </xdr:twoCellAnchor>
  <xdr:twoCellAnchor>
    <xdr:from>
      <xdr:col>2</xdr:col>
      <xdr:colOff>326572</xdr:colOff>
      <xdr:row>25</xdr:row>
      <xdr:rowOff>76522</xdr:rowOff>
    </xdr:from>
    <xdr:to>
      <xdr:col>4</xdr:col>
      <xdr:colOff>163285</xdr:colOff>
      <xdr:row>26</xdr:row>
      <xdr:rowOff>110992</xdr:rowOff>
    </xdr:to>
    <xdr:sp macro="" textlink="PivotTables!O16">
      <xdr:nvSpPr>
        <xdr:cNvPr id="83" name="TextBox 82"/>
        <xdr:cNvSpPr txBox="1"/>
      </xdr:nvSpPr>
      <xdr:spPr>
        <a:xfrm>
          <a:off x="1551748" y="4745640"/>
          <a:ext cx="1061890" cy="221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fld id="{981E8DFE-951A-43C7-AEE9-6C17D39D5048}" type="TxLink">
            <a:rPr lang="en-US" sz="1000" b="0" i="0" u="none" strike="noStrike">
              <a:solidFill>
                <a:schemeClr val="bg1"/>
              </a:solidFill>
              <a:latin typeface="Calibri"/>
              <a:ea typeface="Calibri"/>
              <a:cs typeface="Calibri"/>
            </a:rPr>
            <a:pPr algn="l"/>
            <a:t>46%</a:t>
          </a:fld>
          <a:endParaRPr lang="en-US" sz="1000">
            <a:solidFill>
              <a:schemeClr val="bg1"/>
            </a:solidFill>
            <a:latin typeface="Cambria" panose="02040503050406030204" pitchFamily="18" charset="0"/>
            <a:ea typeface="Cambria" panose="02040503050406030204" pitchFamily="18" charset="0"/>
          </a:endParaRPr>
        </a:p>
      </xdr:txBody>
    </xdr:sp>
    <xdr:clientData/>
  </xdr:twoCellAnchor>
  <xdr:twoCellAnchor>
    <xdr:from>
      <xdr:col>2</xdr:col>
      <xdr:colOff>281212</xdr:colOff>
      <xdr:row>28</xdr:row>
      <xdr:rowOff>428</xdr:rowOff>
    </xdr:from>
    <xdr:to>
      <xdr:col>4</xdr:col>
      <xdr:colOff>117925</xdr:colOff>
      <xdr:row>29</xdr:row>
      <xdr:rowOff>51229</xdr:rowOff>
    </xdr:to>
    <xdr:sp macro="" textlink="PivotTables!O17">
      <xdr:nvSpPr>
        <xdr:cNvPr id="84" name="TextBox 83"/>
        <xdr:cNvSpPr txBox="1"/>
      </xdr:nvSpPr>
      <xdr:spPr>
        <a:xfrm>
          <a:off x="1506388" y="5229840"/>
          <a:ext cx="1061890" cy="2375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fld id="{32A037A9-9EFC-4025-8A98-FC1002FE38FD}" type="TxLink">
            <a:rPr lang="en-US" sz="1000" b="0" i="0" u="none" strike="noStrike">
              <a:solidFill>
                <a:schemeClr val="bg1"/>
              </a:solidFill>
              <a:latin typeface="Calibri"/>
              <a:ea typeface="Calibri"/>
              <a:cs typeface="Calibri"/>
            </a:rPr>
            <a:pPr algn="l"/>
            <a:t>16%</a:t>
          </a:fld>
          <a:endParaRPr lang="en-US" sz="1000">
            <a:solidFill>
              <a:schemeClr val="bg1"/>
            </a:solidFill>
            <a:latin typeface="Cambria" panose="02040503050406030204" pitchFamily="18" charset="0"/>
            <a:ea typeface="Cambria" panose="02040503050406030204" pitchFamily="18" charset="0"/>
          </a:endParaRPr>
        </a:p>
      </xdr:txBody>
    </xdr:sp>
    <xdr:clientData/>
  </xdr:twoCellAnchor>
  <xdr:twoCellAnchor>
    <xdr:from>
      <xdr:col>2</xdr:col>
      <xdr:colOff>272146</xdr:colOff>
      <xdr:row>30</xdr:row>
      <xdr:rowOff>56670</xdr:rowOff>
    </xdr:from>
    <xdr:to>
      <xdr:col>4</xdr:col>
      <xdr:colOff>108859</xdr:colOff>
      <xdr:row>31</xdr:row>
      <xdr:rowOff>138204</xdr:rowOff>
    </xdr:to>
    <xdr:sp macro="" textlink="PivotTables!O18">
      <xdr:nvSpPr>
        <xdr:cNvPr id="85" name="TextBox 84"/>
        <xdr:cNvSpPr txBox="1"/>
      </xdr:nvSpPr>
      <xdr:spPr>
        <a:xfrm>
          <a:off x="1497322" y="5659611"/>
          <a:ext cx="1061890" cy="2682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fld id="{E2996549-2421-4ACB-BC1C-BEE98C292E9F}" type="TxLink">
            <a:rPr lang="en-US" sz="1000" b="0" i="0" u="none" strike="noStrike">
              <a:solidFill>
                <a:schemeClr val="bg1"/>
              </a:solidFill>
              <a:latin typeface="Calibri"/>
              <a:ea typeface="Calibri"/>
              <a:cs typeface="Calibri"/>
            </a:rPr>
            <a:pPr algn="l"/>
            <a:t>38%</a:t>
          </a:fld>
          <a:endParaRPr lang="en-US" sz="1000">
            <a:solidFill>
              <a:schemeClr val="bg1"/>
            </a:solidFill>
            <a:latin typeface="Cambria" panose="02040503050406030204" pitchFamily="18" charset="0"/>
            <a:ea typeface="Cambria" panose="02040503050406030204" pitchFamily="18" charset="0"/>
          </a:endParaRPr>
        </a:p>
      </xdr:txBody>
    </xdr:sp>
    <xdr:clientData/>
  </xdr:twoCellAnchor>
  <xdr:twoCellAnchor>
    <xdr:from>
      <xdr:col>0</xdr:col>
      <xdr:colOff>335377</xdr:colOff>
      <xdr:row>21</xdr:row>
      <xdr:rowOff>69902</xdr:rowOff>
    </xdr:from>
    <xdr:to>
      <xdr:col>2</xdr:col>
      <xdr:colOff>303627</xdr:colOff>
      <xdr:row>23</xdr:row>
      <xdr:rowOff>88044</xdr:rowOff>
    </xdr:to>
    <xdr:sp macro="" textlink="">
      <xdr:nvSpPr>
        <xdr:cNvPr id="86" name="TextBox 85"/>
        <xdr:cNvSpPr txBox="1"/>
      </xdr:nvSpPr>
      <xdr:spPr>
        <a:xfrm>
          <a:off x="335377" y="3991961"/>
          <a:ext cx="1193426" cy="3916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b="1">
              <a:solidFill>
                <a:srgbClr val="E5B244"/>
              </a:solidFill>
              <a:latin typeface="Cambria" panose="02040503050406030204" pitchFamily="18" charset="0"/>
              <a:ea typeface="Cambria" panose="02040503050406030204" pitchFamily="18" charset="0"/>
            </a:rPr>
            <a:t>Work</a:t>
          </a:r>
          <a:r>
            <a:rPr lang="en-US" sz="1200" b="1" baseline="0">
              <a:solidFill>
                <a:srgbClr val="E5B244"/>
              </a:solidFill>
              <a:latin typeface="Cambria" panose="02040503050406030204" pitchFamily="18" charset="0"/>
              <a:ea typeface="Cambria" panose="02040503050406030204" pitchFamily="18" charset="0"/>
            </a:rPr>
            <a:t> Location</a:t>
          </a:r>
          <a:endParaRPr lang="en-US" sz="1200" b="1">
            <a:solidFill>
              <a:srgbClr val="E5B244"/>
            </a:solidFill>
            <a:latin typeface="Cambria" panose="02040503050406030204" pitchFamily="18" charset="0"/>
            <a:ea typeface="Cambria" panose="02040503050406030204" pitchFamily="18" charset="0"/>
          </a:endParaRPr>
        </a:p>
        <a:p>
          <a:endParaRPr lang="en-US" sz="1100" b="1">
            <a:solidFill>
              <a:schemeClr val="bg1">
                <a:lumMod val="95000"/>
              </a:schemeClr>
            </a:solidFill>
            <a:latin typeface="Cambria" panose="02040503050406030204" pitchFamily="18" charset="0"/>
            <a:ea typeface="Cambria" panose="02040503050406030204" pitchFamily="18" charset="0"/>
          </a:endParaRPr>
        </a:p>
      </xdr:txBody>
    </xdr:sp>
    <xdr:clientData/>
  </xdr:twoCellAnchor>
  <xdr:twoCellAnchor>
    <xdr:from>
      <xdr:col>0</xdr:col>
      <xdr:colOff>324705</xdr:colOff>
      <xdr:row>22</xdr:row>
      <xdr:rowOff>102983</xdr:rowOff>
    </xdr:from>
    <xdr:to>
      <xdr:col>4</xdr:col>
      <xdr:colOff>93384</xdr:colOff>
      <xdr:row>24</xdr:row>
      <xdr:rowOff>121127</xdr:rowOff>
    </xdr:to>
    <xdr:sp macro="" textlink="">
      <xdr:nvSpPr>
        <xdr:cNvPr id="87" name="TextBox 86"/>
        <xdr:cNvSpPr txBox="1"/>
      </xdr:nvSpPr>
      <xdr:spPr>
        <a:xfrm>
          <a:off x="324705" y="4211807"/>
          <a:ext cx="2219032" cy="3916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900" b="0">
              <a:solidFill>
                <a:schemeClr val="tx1">
                  <a:lumMod val="50000"/>
                  <a:lumOff val="50000"/>
                </a:schemeClr>
              </a:solidFill>
              <a:latin typeface="Cambria" panose="02040503050406030204" pitchFamily="18" charset="0"/>
              <a:ea typeface="Cambria" panose="02040503050406030204" pitchFamily="18" charset="0"/>
            </a:rPr>
            <a:t>Employees</a:t>
          </a:r>
          <a:r>
            <a:rPr lang="en-US" sz="900" b="0" baseline="0">
              <a:solidFill>
                <a:schemeClr val="tx1">
                  <a:lumMod val="50000"/>
                  <a:lumOff val="50000"/>
                </a:schemeClr>
              </a:solidFill>
              <a:latin typeface="Cambria" panose="02040503050406030204" pitchFamily="18" charset="0"/>
              <a:ea typeface="Cambria" panose="02040503050406030204" pitchFamily="18" charset="0"/>
            </a:rPr>
            <a:t> to workplace</a:t>
          </a:r>
          <a:endParaRPr lang="en-US" sz="1100" b="1">
            <a:solidFill>
              <a:schemeClr val="bg1">
                <a:lumMod val="95000"/>
              </a:schemeClr>
            </a:solidFill>
            <a:latin typeface="Cambria" panose="02040503050406030204" pitchFamily="18" charset="0"/>
            <a:ea typeface="Cambria" panose="02040503050406030204" pitchFamily="18" charset="0"/>
          </a:endParaRPr>
        </a:p>
      </xdr:txBody>
    </xdr:sp>
    <xdr:clientData/>
  </xdr:twoCellAnchor>
  <xdr:twoCellAnchor>
    <xdr:from>
      <xdr:col>0</xdr:col>
      <xdr:colOff>398235</xdr:colOff>
      <xdr:row>10</xdr:row>
      <xdr:rowOff>142476</xdr:rowOff>
    </xdr:from>
    <xdr:to>
      <xdr:col>2</xdr:col>
      <xdr:colOff>233135</xdr:colOff>
      <xdr:row>12</xdr:row>
      <xdr:rowOff>160617</xdr:rowOff>
    </xdr:to>
    <xdr:sp macro="" textlink="">
      <xdr:nvSpPr>
        <xdr:cNvPr id="91" name="TextBox 90"/>
        <xdr:cNvSpPr txBox="1"/>
      </xdr:nvSpPr>
      <xdr:spPr>
        <a:xfrm>
          <a:off x="398235" y="2010123"/>
          <a:ext cx="1060076" cy="3916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000">
              <a:solidFill>
                <a:schemeClr val="bg1">
                  <a:lumMod val="95000"/>
                </a:schemeClr>
              </a:solidFill>
              <a:latin typeface="Cambria" panose="02040503050406030204" pitchFamily="18" charset="0"/>
              <a:ea typeface="Cambria" panose="02040503050406030204" pitchFamily="18" charset="0"/>
            </a:rPr>
            <a:t>Communication</a:t>
          </a:r>
        </a:p>
      </xdr:txBody>
    </xdr:sp>
    <xdr:clientData/>
  </xdr:twoCellAnchor>
  <xdr:twoCellAnchor>
    <xdr:from>
      <xdr:col>0</xdr:col>
      <xdr:colOff>420912</xdr:colOff>
      <xdr:row>12</xdr:row>
      <xdr:rowOff>143810</xdr:rowOff>
    </xdr:from>
    <xdr:to>
      <xdr:col>2</xdr:col>
      <xdr:colOff>255812</xdr:colOff>
      <xdr:row>14</xdr:row>
      <xdr:rowOff>161951</xdr:rowOff>
    </xdr:to>
    <xdr:sp macro="" textlink="">
      <xdr:nvSpPr>
        <xdr:cNvPr id="92" name="TextBox 91"/>
        <xdr:cNvSpPr txBox="1"/>
      </xdr:nvSpPr>
      <xdr:spPr>
        <a:xfrm>
          <a:off x="420912" y="2384986"/>
          <a:ext cx="1060076" cy="3916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US" sz="1000">
              <a:solidFill>
                <a:schemeClr val="bg1">
                  <a:lumMod val="95000"/>
                </a:schemeClr>
              </a:solidFill>
              <a:latin typeface="Cambria" panose="02040503050406030204" pitchFamily="18" charset="0"/>
              <a:ea typeface="Cambria" panose="02040503050406030204" pitchFamily="18" charset="0"/>
            </a:rPr>
            <a:t>Design</a:t>
          </a:r>
        </a:p>
      </xdr:txBody>
    </xdr:sp>
    <xdr:clientData/>
  </xdr:twoCellAnchor>
  <xdr:twoCellAnchor>
    <xdr:from>
      <xdr:col>0</xdr:col>
      <xdr:colOff>418674</xdr:colOff>
      <xdr:row>14</xdr:row>
      <xdr:rowOff>53416</xdr:rowOff>
    </xdr:from>
    <xdr:to>
      <xdr:col>2</xdr:col>
      <xdr:colOff>253574</xdr:colOff>
      <xdr:row>16</xdr:row>
      <xdr:rowOff>74278</xdr:rowOff>
    </xdr:to>
    <xdr:sp macro="" textlink="">
      <xdr:nvSpPr>
        <xdr:cNvPr id="93" name="TextBox 92"/>
        <xdr:cNvSpPr txBox="1"/>
      </xdr:nvSpPr>
      <xdr:spPr>
        <a:xfrm>
          <a:off x="418674" y="2668122"/>
          <a:ext cx="1060076" cy="3943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US" sz="1000">
              <a:solidFill>
                <a:schemeClr val="bg1">
                  <a:lumMod val="95000"/>
                </a:schemeClr>
              </a:solidFill>
              <a:latin typeface="Cambria" panose="02040503050406030204" pitchFamily="18" charset="0"/>
              <a:ea typeface="Cambria" panose="02040503050406030204" pitchFamily="18" charset="0"/>
            </a:rPr>
            <a:t>Excel</a:t>
          </a:r>
        </a:p>
      </xdr:txBody>
    </xdr:sp>
    <xdr:clientData/>
  </xdr:twoCellAnchor>
  <xdr:twoCellAnchor>
    <xdr:from>
      <xdr:col>0</xdr:col>
      <xdr:colOff>405971</xdr:colOff>
      <xdr:row>15</xdr:row>
      <xdr:rowOff>153305</xdr:rowOff>
    </xdr:from>
    <xdr:to>
      <xdr:col>2</xdr:col>
      <xdr:colOff>240871</xdr:colOff>
      <xdr:row>17</xdr:row>
      <xdr:rowOff>171447</xdr:rowOff>
    </xdr:to>
    <xdr:sp macro="" textlink="">
      <xdr:nvSpPr>
        <xdr:cNvPr id="94" name="TextBox 93"/>
        <xdr:cNvSpPr txBox="1"/>
      </xdr:nvSpPr>
      <xdr:spPr>
        <a:xfrm>
          <a:off x="405971" y="2954776"/>
          <a:ext cx="1060076" cy="3916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US" sz="1000">
              <a:solidFill>
                <a:schemeClr val="bg1">
                  <a:lumMod val="95000"/>
                </a:schemeClr>
              </a:solidFill>
              <a:latin typeface="Cambria" panose="02040503050406030204" pitchFamily="18" charset="0"/>
              <a:ea typeface="Cambria" panose="02040503050406030204" pitchFamily="18" charset="0"/>
            </a:rPr>
            <a:t>Management</a:t>
          </a:r>
        </a:p>
      </xdr:txBody>
    </xdr:sp>
    <xdr:clientData/>
  </xdr:twoCellAnchor>
  <xdr:twoCellAnchor>
    <xdr:from>
      <xdr:col>0</xdr:col>
      <xdr:colOff>427745</xdr:colOff>
      <xdr:row>17</xdr:row>
      <xdr:rowOff>52081</xdr:rowOff>
    </xdr:from>
    <xdr:to>
      <xdr:col>2</xdr:col>
      <xdr:colOff>282601</xdr:colOff>
      <xdr:row>19</xdr:row>
      <xdr:rowOff>70223</xdr:rowOff>
    </xdr:to>
    <xdr:sp macro="" textlink="">
      <xdr:nvSpPr>
        <xdr:cNvPr id="95" name="TextBox 94"/>
        <xdr:cNvSpPr txBox="1"/>
      </xdr:nvSpPr>
      <xdr:spPr>
        <a:xfrm>
          <a:off x="427745" y="3227081"/>
          <a:ext cx="1080032" cy="3916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US" sz="1000">
              <a:solidFill>
                <a:schemeClr val="bg1">
                  <a:lumMod val="95000"/>
                </a:schemeClr>
              </a:solidFill>
              <a:latin typeface="Cambria" panose="02040503050406030204" pitchFamily="18" charset="0"/>
              <a:ea typeface="Cambria" panose="02040503050406030204" pitchFamily="18" charset="0"/>
            </a:rPr>
            <a:t>Python</a:t>
          </a:r>
        </a:p>
      </xdr:txBody>
    </xdr:sp>
    <xdr:clientData/>
  </xdr:twoCellAnchor>
  <xdr:twoCellAnchor>
    <xdr:from>
      <xdr:col>1</xdr:col>
      <xdr:colOff>556985</xdr:colOff>
      <xdr:row>14</xdr:row>
      <xdr:rowOff>909</xdr:rowOff>
    </xdr:from>
    <xdr:to>
      <xdr:col>3</xdr:col>
      <xdr:colOff>391885</xdr:colOff>
      <xdr:row>16</xdr:row>
      <xdr:rowOff>19050</xdr:rowOff>
    </xdr:to>
    <xdr:sp macro="" textlink="">
      <xdr:nvSpPr>
        <xdr:cNvPr id="99" name="TextBox 98"/>
        <xdr:cNvSpPr txBox="1"/>
      </xdr:nvSpPr>
      <xdr:spPr>
        <a:xfrm>
          <a:off x="1166585" y="2579009"/>
          <a:ext cx="1054100" cy="3864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endParaRPr lang="en-US" sz="1000">
            <a:solidFill>
              <a:schemeClr val="bg1">
                <a:lumMod val="95000"/>
              </a:schemeClr>
            </a:solidFill>
            <a:latin typeface="Cambria" panose="02040503050406030204" pitchFamily="18" charset="0"/>
            <a:ea typeface="Cambria" panose="02040503050406030204" pitchFamily="18" charset="0"/>
          </a:endParaRPr>
        </a:p>
      </xdr:txBody>
    </xdr:sp>
    <xdr:clientData/>
  </xdr:twoCellAnchor>
  <xdr:twoCellAnchor>
    <xdr:from>
      <xdr:col>1</xdr:col>
      <xdr:colOff>579662</xdr:colOff>
      <xdr:row>15</xdr:row>
      <xdr:rowOff>114301</xdr:rowOff>
    </xdr:from>
    <xdr:to>
      <xdr:col>3</xdr:col>
      <xdr:colOff>414562</xdr:colOff>
      <xdr:row>17</xdr:row>
      <xdr:rowOff>132442</xdr:rowOff>
    </xdr:to>
    <xdr:sp macro="" textlink="">
      <xdr:nvSpPr>
        <xdr:cNvPr id="100" name="TextBox 99"/>
        <xdr:cNvSpPr txBox="1"/>
      </xdr:nvSpPr>
      <xdr:spPr>
        <a:xfrm>
          <a:off x="1189262" y="2876551"/>
          <a:ext cx="1054100" cy="3864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endParaRPr lang="en-US" sz="1000">
            <a:solidFill>
              <a:schemeClr val="bg1">
                <a:lumMod val="95000"/>
              </a:schemeClr>
            </a:solidFill>
            <a:latin typeface="Cambria" panose="02040503050406030204" pitchFamily="18" charset="0"/>
            <a:ea typeface="Cambria" panose="02040503050406030204" pitchFamily="18" charset="0"/>
          </a:endParaRPr>
        </a:p>
      </xdr:txBody>
    </xdr:sp>
    <xdr:clientData/>
  </xdr:twoCellAnchor>
  <xdr:twoCellAnchor>
    <xdr:from>
      <xdr:col>1</xdr:col>
      <xdr:colOff>579664</xdr:colOff>
      <xdr:row>17</xdr:row>
      <xdr:rowOff>31752</xdr:rowOff>
    </xdr:from>
    <xdr:to>
      <xdr:col>3</xdr:col>
      <xdr:colOff>414564</xdr:colOff>
      <xdr:row>19</xdr:row>
      <xdr:rowOff>52614</xdr:rowOff>
    </xdr:to>
    <xdr:sp macro="" textlink="">
      <xdr:nvSpPr>
        <xdr:cNvPr id="101" name="TextBox 100"/>
        <xdr:cNvSpPr txBox="1"/>
      </xdr:nvSpPr>
      <xdr:spPr>
        <a:xfrm>
          <a:off x="1189264" y="3162302"/>
          <a:ext cx="1054100" cy="3891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endParaRPr lang="en-US" sz="1000">
            <a:solidFill>
              <a:schemeClr val="bg1">
                <a:lumMod val="95000"/>
              </a:schemeClr>
            </a:solidFill>
            <a:latin typeface="Cambria" panose="02040503050406030204" pitchFamily="18" charset="0"/>
            <a:ea typeface="Cambria" panose="02040503050406030204" pitchFamily="18" charset="0"/>
          </a:endParaRPr>
        </a:p>
      </xdr:txBody>
    </xdr:sp>
    <xdr:clientData/>
  </xdr:twoCellAnchor>
  <xdr:twoCellAnchor>
    <xdr:from>
      <xdr:col>1</xdr:col>
      <xdr:colOff>579662</xdr:colOff>
      <xdr:row>18</xdr:row>
      <xdr:rowOff>172357</xdr:rowOff>
    </xdr:from>
    <xdr:to>
      <xdr:col>3</xdr:col>
      <xdr:colOff>414562</xdr:colOff>
      <xdr:row>21</xdr:row>
      <xdr:rowOff>6348</xdr:rowOff>
    </xdr:to>
    <xdr:sp macro="" textlink="">
      <xdr:nvSpPr>
        <xdr:cNvPr id="102" name="TextBox 101"/>
        <xdr:cNvSpPr txBox="1"/>
      </xdr:nvSpPr>
      <xdr:spPr>
        <a:xfrm>
          <a:off x="1189262" y="3487057"/>
          <a:ext cx="1054100" cy="3864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endParaRPr lang="en-US" sz="1000">
            <a:solidFill>
              <a:schemeClr val="bg1">
                <a:lumMod val="95000"/>
              </a:schemeClr>
            </a:solidFill>
            <a:latin typeface="Cambria" panose="02040503050406030204" pitchFamily="18" charset="0"/>
            <a:ea typeface="Cambria" panose="02040503050406030204" pitchFamily="18" charset="0"/>
          </a:endParaRPr>
        </a:p>
      </xdr:txBody>
    </xdr:sp>
    <xdr:clientData/>
  </xdr:twoCellAnchor>
  <xdr:twoCellAnchor>
    <xdr:from>
      <xdr:col>1</xdr:col>
      <xdr:colOff>588736</xdr:colOff>
      <xdr:row>20</xdr:row>
      <xdr:rowOff>83458</xdr:rowOff>
    </xdr:from>
    <xdr:to>
      <xdr:col>3</xdr:col>
      <xdr:colOff>443592</xdr:colOff>
      <xdr:row>22</xdr:row>
      <xdr:rowOff>101599</xdr:rowOff>
    </xdr:to>
    <xdr:sp macro="" textlink="">
      <xdr:nvSpPr>
        <xdr:cNvPr id="103" name="TextBox 102"/>
        <xdr:cNvSpPr txBox="1"/>
      </xdr:nvSpPr>
      <xdr:spPr>
        <a:xfrm>
          <a:off x="1198336" y="3766458"/>
          <a:ext cx="1074056" cy="3864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endParaRPr lang="en-US" sz="1000">
            <a:solidFill>
              <a:schemeClr val="bg1">
                <a:lumMod val="95000"/>
              </a:schemeClr>
            </a:solidFill>
            <a:latin typeface="Cambria" panose="02040503050406030204" pitchFamily="18" charset="0"/>
            <a:ea typeface="Cambria" panose="02040503050406030204" pitchFamily="18" charset="0"/>
          </a:endParaRPr>
        </a:p>
      </xdr:txBody>
    </xdr:sp>
    <xdr:clientData/>
  </xdr:twoCellAnchor>
  <xdr:twoCellAnchor>
    <xdr:from>
      <xdr:col>1</xdr:col>
      <xdr:colOff>318300</xdr:colOff>
      <xdr:row>10</xdr:row>
      <xdr:rowOff>175347</xdr:rowOff>
    </xdr:from>
    <xdr:to>
      <xdr:col>3</xdr:col>
      <xdr:colOff>153200</xdr:colOff>
      <xdr:row>13</xdr:row>
      <xdr:rowOff>6723</xdr:rowOff>
    </xdr:to>
    <xdr:sp macro="" textlink="PivotTables!S13">
      <xdr:nvSpPr>
        <xdr:cNvPr id="97" name="TextBox 96"/>
        <xdr:cNvSpPr txBox="1"/>
      </xdr:nvSpPr>
      <xdr:spPr>
        <a:xfrm>
          <a:off x="930888" y="2042994"/>
          <a:ext cx="1060077" cy="3916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lgn="r"/>
          <a:fld id="{D61E4AC2-7A25-4F6B-8CB2-99001195FE87}" type="TxLink">
            <a:rPr lang="en-US" sz="1600" b="0" i="0" u="none" strike="noStrike">
              <a:solidFill>
                <a:srgbClr val="E5B244"/>
              </a:solidFill>
              <a:latin typeface="Calibri"/>
              <a:ea typeface="Calibri"/>
              <a:cs typeface="Calibri"/>
            </a:rPr>
            <a:pPr marL="0" indent="0" algn="r"/>
            <a:t>12</a:t>
          </a:fld>
          <a:endParaRPr lang="en-US" sz="1600" b="0" i="0" u="none" strike="noStrike">
            <a:solidFill>
              <a:srgbClr val="E5B244"/>
            </a:solidFill>
            <a:latin typeface="Calibri"/>
            <a:ea typeface="Calibri"/>
            <a:cs typeface="Calibri"/>
          </a:endParaRPr>
        </a:p>
      </xdr:txBody>
    </xdr:sp>
    <xdr:clientData/>
  </xdr:twoCellAnchor>
  <xdr:twoCellAnchor>
    <xdr:from>
      <xdr:col>1</xdr:col>
      <xdr:colOff>331000</xdr:colOff>
      <xdr:row>12</xdr:row>
      <xdr:rowOff>89275</xdr:rowOff>
    </xdr:from>
    <xdr:to>
      <xdr:col>3</xdr:col>
      <xdr:colOff>165900</xdr:colOff>
      <xdr:row>14</xdr:row>
      <xdr:rowOff>110030</xdr:rowOff>
    </xdr:to>
    <xdr:sp macro="" textlink="PivotTables!S14">
      <xdr:nvSpPr>
        <xdr:cNvPr id="98" name="TextBox 97"/>
        <xdr:cNvSpPr txBox="1"/>
      </xdr:nvSpPr>
      <xdr:spPr>
        <a:xfrm>
          <a:off x="943588" y="2330451"/>
          <a:ext cx="1060077" cy="3942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fld id="{9380751F-DD91-409F-8D14-CBD822ADD266}" type="TxLink">
            <a:rPr lang="en-US" sz="1600" b="0" i="0" u="none" strike="noStrike">
              <a:solidFill>
                <a:srgbClr val="E5B244"/>
              </a:solidFill>
              <a:latin typeface="Calibri"/>
              <a:ea typeface="Calibri"/>
              <a:cs typeface="Calibri"/>
            </a:rPr>
            <a:pPr algn="r"/>
            <a:t>11</a:t>
          </a:fld>
          <a:endParaRPr lang="en-US" sz="1600">
            <a:solidFill>
              <a:srgbClr val="E5B244"/>
            </a:solidFill>
            <a:latin typeface="Cambria" panose="02040503050406030204" pitchFamily="18" charset="0"/>
            <a:ea typeface="Cambria" panose="02040503050406030204" pitchFamily="18" charset="0"/>
          </a:endParaRPr>
        </a:p>
      </xdr:txBody>
    </xdr:sp>
    <xdr:clientData/>
  </xdr:twoCellAnchor>
  <xdr:twoCellAnchor>
    <xdr:from>
      <xdr:col>1</xdr:col>
      <xdr:colOff>305600</xdr:colOff>
      <xdr:row>14</xdr:row>
      <xdr:rowOff>13075</xdr:rowOff>
    </xdr:from>
    <xdr:to>
      <xdr:col>3</xdr:col>
      <xdr:colOff>140500</xdr:colOff>
      <xdr:row>16</xdr:row>
      <xdr:rowOff>33937</xdr:rowOff>
    </xdr:to>
    <xdr:sp macro="" textlink="PivotTables!S15">
      <xdr:nvSpPr>
        <xdr:cNvPr id="104" name="TextBox 103"/>
        <xdr:cNvSpPr txBox="1"/>
      </xdr:nvSpPr>
      <xdr:spPr>
        <a:xfrm>
          <a:off x="918188" y="2627781"/>
          <a:ext cx="1060077" cy="3943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fld id="{F910DED1-DF67-478C-A929-190DD432A874}" type="TxLink">
            <a:rPr lang="en-US" sz="1600" b="0" i="0" u="none" strike="noStrike">
              <a:solidFill>
                <a:srgbClr val="E5B244"/>
              </a:solidFill>
              <a:latin typeface="Calibri"/>
              <a:ea typeface="Calibri"/>
              <a:cs typeface="Calibri"/>
            </a:rPr>
            <a:pPr algn="r"/>
            <a:t>7</a:t>
          </a:fld>
          <a:endParaRPr lang="en-US" sz="1600">
            <a:solidFill>
              <a:srgbClr val="E5B244"/>
            </a:solidFill>
            <a:latin typeface="Cambria" panose="02040503050406030204" pitchFamily="18" charset="0"/>
            <a:ea typeface="Cambria" panose="02040503050406030204" pitchFamily="18" charset="0"/>
          </a:endParaRPr>
        </a:p>
      </xdr:txBody>
    </xdr:sp>
    <xdr:clientData/>
  </xdr:twoCellAnchor>
  <xdr:twoCellAnchor>
    <xdr:from>
      <xdr:col>1</xdr:col>
      <xdr:colOff>331000</xdr:colOff>
      <xdr:row>15</xdr:row>
      <xdr:rowOff>83830</xdr:rowOff>
    </xdr:from>
    <xdr:to>
      <xdr:col>3</xdr:col>
      <xdr:colOff>165900</xdr:colOff>
      <xdr:row>17</xdr:row>
      <xdr:rowOff>101971</xdr:rowOff>
    </xdr:to>
    <xdr:sp macro="" textlink="PivotTables!S16">
      <xdr:nvSpPr>
        <xdr:cNvPr id="105" name="TextBox 104"/>
        <xdr:cNvSpPr txBox="1"/>
      </xdr:nvSpPr>
      <xdr:spPr>
        <a:xfrm>
          <a:off x="943588" y="2885301"/>
          <a:ext cx="1060077" cy="3916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fld id="{D18A778A-7B84-4128-B6D5-BF8C9C373F47}" type="TxLink">
            <a:rPr lang="en-US" sz="1600" b="0" i="0" u="none" strike="noStrike">
              <a:solidFill>
                <a:srgbClr val="E5B244"/>
              </a:solidFill>
              <a:latin typeface="Calibri"/>
              <a:ea typeface="Calibri"/>
              <a:cs typeface="Calibri"/>
            </a:rPr>
            <a:pPr algn="r"/>
            <a:t>11</a:t>
          </a:fld>
          <a:endParaRPr lang="en-US" sz="1600">
            <a:solidFill>
              <a:srgbClr val="E5B244"/>
            </a:solidFill>
            <a:latin typeface="Cambria" panose="02040503050406030204" pitchFamily="18" charset="0"/>
            <a:ea typeface="Cambria" panose="02040503050406030204" pitchFamily="18" charset="0"/>
          </a:endParaRPr>
        </a:p>
      </xdr:txBody>
    </xdr:sp>
    <xdr:clientData/>
  </xdr:twoCellAnchor>
  <xdr:twoCellAnchor>
    <xdr:from>
      <xdr:col>1</xdr:col>
      <xdr:colOff>279294</xdr:colOff>
      <xdr:row>17</xdr:row>
      <xdr:rowOff>7631</xdr:rowOff>
    </xdr:from>
    <xdr:to>
      <xdr:col>3</xdr:col>
      <xdr:colOff>134150</xdr:colOff>
      <xdr:row>19</xdr:row>
      <xdr:rowOff>25773</xdr:rowOff>
    </xdr:to>
    <xdr:sp macro="" textlink="PivotTables!S17">
      <xdr:nvSpPr>
        <xdr:cNvPr id="106" name="TextBox 105"/>
        <xdr:cNvSpPr txBox="1"/>
      </xdr:nvSpPr>
      <xdr:spPr>
        <a:xfrm>
          <a:off x="891882" y="3182631"/>
          <a:ext cx="1080033" cy="3916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fld id="{C27305F4-562E-4718-BC2B-002D28B6B24B}" type="TxLink">
            <a:rPr lang="en-US" sz="1600" b="0" i="0" u="none" strike="noStrike">
              <a:solidFill>
                <a:srgbClr val="E5B244"/>
              </a:solidFill>
              <a:latin typeface="Calibri"/>
              <a:ea typeface="Calibri"/>
              <a:cs typeface="Calibri"/>
            </a:rPr>
            <a:pPr algn="r"/>
            <a:t>9</a:t>
          </a:fld>
          <a:endParaRPr lang="en-US" sz="1600">
            <a:solidFill>
              <a:srgbClr val="E5B244"/>
            </a:solidFill>
            <a:latin typeface="Cambria" panose="02040503050406030204" pitchFamily="18" charset="0"/>
            <a:ea typeface="Cambria" panose="02040503050406030204" pitchFamily="18" charset="0"/>
          </a:endParaRPr>
        </a:p>
      </xdr:txBody>
    </xdr:sp>
    <xdr:clientData/>
  </xdr:twoCellAnchor>
  <xdr:twoCellAnchor>
    <xdr:from>
      <xdr:col>0</xdr:col>
      <xdr:colOff>418406</xdr:colOff>
      <xdr:row>7</xdr:row>
      <xdr:rowOff>45519</xdr:rowOff>
    </xdr:from>
    <xdr:to>
      <xdr:col>2</xdr:col>
      <xdr:colOff>386656</xdr:colOff>
      <xdr:row>11</xdr:row>
      <xdr:rowOff>111634</xdr:rowOff>
    </xdr:to>
    <xdr:sp macro="" textlink="">
      <xdr:nvSpPr>
        <xdr:cNvPr id="107" name="TextBox 106"/>
        <xdr:cNvSpPr txBox="1"/>
      </xdr:nvSpPr>
      <xdr:spPr>
        <a:xfrm>
          <a:off x="418406" y="1352872"/>
          <a:ext cx="1193426" cy="835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600" b="1">
              <a:solidFill>
                <a:srgbClr val="E5B244"/>
              </a:solidFill>
              <a:latin typeface="Cambria" panose="02040503050406030204" pitchFamily="18" charset="0"/>
              <a:ea typeface="Cambria" panose="02040503050406030204" pitchFamily="18" charset="0"/>
            </a:rPr>
            <a:t>Skills</a:t>
          </a:r>
          <a:r>
            <a:rPr lang="en-US" sz="1600" b="1" baseline="0">
              <a:solidFill>
                <a:srgbClr val="E5B244"/>
              </a:solidFill>
              <a:latin typeface="Cambria" panose="02040503050406030204" pitchFamily="18" charset="0"/>
              <a:ea typeface="Cambria" panose="02040503050406030204" pitchFamily="18" charset="0"/>
            </a:rPr>
            <a:t> </a:t>
          </a:r>
        </a:p>
        <a:p>
          <a:pPr algn="l"/>
          <a:r>
            <a:rPr lang="en-US" sz="1600" b="1" baseline="0">
              <a:solidFill>
                <a:srgbClr val="E5B244"/>
              </a:solidFill>
              <a:latin typeface="Cambria" panose="02040503050406030204" pitchFamily="18" charset="0"/>
              <a:ea typeface="Cambria" panose="02040503050406030204" pitchFamily="18" charset="0"/>
            </a:rPr>
            <a:t>Breakdown</a:t>
          </a:r>
          <a:endParaRPr lang="en-US" sz="1600" b="1">
            <a:solidFill>
              <a:srgbClr val="E5B244"/>
            </a:solidFill>
            <a:latin typeface="Cambria" panose="02040503050406030204" pitchFamily="18" charset="0"/>
            <a:ea typeface="Cambria" panose="02040503050406030204" pitchFamily="18" charset="0"/>
          </a:endParaRPr>
        </a:p>
        <a:p>
          <a:pPr algn="l"/>
          <a:endParaRPr lang="en-US" sz="1600" b="1">
            <a:solidFill>
              <a:schemeClr val="bg1">
                <a:lumMod val="95000"/>
              </a:schemeClr>
            </a:solidFill>
            <a:latin typeface="Cambria" panose="02040503050406030204" pitchFamily="18" charset="0"/>
            <a:ea typeface="Cambria" panose="02040503050406030204" pitchFamily="18" charset="0"/>
          </a:endParaRPr>
        </a:p>
      </xdr:txBody>
    </xdr:sp>
    <xdr:clientData/>
  </xdr:twoCellAnchor>
  <xdr:twoCellAnchor>
    <xdr:from>
      <xdr:col>4</xdr:col>
      <xdr:colOff>572833</xdr:colOff>
      <xdr:row>7</xdr:row>
      <xdr:rowOff>136604</xdr:rowOff>
    </xdr:from>
    <xdr:to>
      <xdr:col>6</xdr:col>
      <xdr:colOff>409546</xdr:colOff>
      <xdr:row>11</xdr:row>
      <xdr:rowOff>67768</xdr:rowOff>
    </xdr:to>
    <xdr:sp macro="" textlink="PivotTables!K23">
      <xdr:nvSpPr>
        <xdr:cNvPr id="108" name="TextBox 107"/>
        <xdr:cNvSpPr txBox="1"/>
      </xdr:nvSpPr>
      <xdr:spPr>
        <a:xfrm>
          <a:off x="3023186" y="1443957"/>
          <a:ext cx="1061889" cy="6782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fld id="{844A1E01-D006-4806-A6BA-629B9C3DC77D}" type="TxLink">
            <a:rPr lang="en-US" sz="4000" b="1" i="0" u="none" strike="noStrike">
              <a:solidFill>
                <a:schemeClr val="bg1"/>
              </a:solidFill>
              <a:latin typeface="Calibri"/>
              <a:ea typeface="Calibri"/>
              <a:cs typeface="Calibri"/>
            </a:rPr>
            <a:pPr/>
            <a:t> 50 </a:t>
          </a:fld>
          <a:endParaRPr lang="en-US" sz="4000" b="1">
            <a:solidFill>
              <a:schemeClr val="bg1"/>
            </a:solidFill>
            <a:latin typeface="Cambria" panose="02040503050406030204" pitchFamily="18" charset="0"/>
            <a:ea typeface="Cambria" panose="02040503050406030204" pitchFamily="18" charset="0"/>
          </a:endParaRPr>
        </a:p>
      </xdr:txBody>
    </xdr:sp>
    <xdr:clientData/>
  </xdr:twoCellAnchor>
  <xdr:twoCellAnchor>
    <xdr:from>
      <xdr:col>4</xdr:col>
      <xdr:colOff>478918</xdr:colOff>
      <xdr:row>10</xdr:row>
      <xdr:rowOff>161685</xdr:rowOff>
    </xdr:from>
    <xdr:to>
      <xdr:col>7</xdr:col>
      <xdr:colOff>61365</xdr:colOff>
      <xdr:row>12</xdr:row>
      <xdr:rowOff>179826</xdr:rowOff>
    </xdr:to>
    <xdr:sp macro="" textlink="">
      <xdr:nvSpPr>
        <xdr:cNvPr id="109" name="TextBox 108"/>
        <xdr:cNvSpPr txBox="1"/>
      </xdr:nvSpPr>
      <xdr:spPr>
        <a:xfrm>
          <a:off x="2929271" y="2029332"/>
          <a:ext cx="1420212" cy="3916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000" b="0">
              <a:solidFill>
                <a:schemeClr val="bg1"/>
              </a:solidFill>
              <a:latin typeface="Cambria" panose="02040503050406030204" pitchFamily="18" charset="0"/>
              <a:ea typeface="Cambria" panose="02040503050406030204" pitchFamily="18" charset="0"/>
            </a:rPr>
            <a:t>Total</a:t>
          </a:r>
          <a:r>
            <a:rPr lang="en-US" sz="1000" b="0" baseline="0">
              <a:solidFill>
                <a:schemeClr val="bg1"/>
              </a:solidFill>
              <a:latin typeface="Cambria" panose="02040503050406030204" pitchFamily="18" charset="0"/>
              <a:ea typeface="Cambria" panose="02040503050406030204" pitchFamily="18" charset="0"/>
            </a:rPr>
            <a:t> Employees</a:t>
          </a:r>
          <a:endParaRPr lang="en-US" sz="1000" b="0">
            <a:solidFill>
              <a:schemeClr val="bg1"/>
            </a:solidFill>
            <a:latin typeface="Cambria" panose="02040503050406030204" pitchFamily="18" charset="0"/>
            <a:ea typeface="Cambria" panose="02040503050406030204" pitchFamily="18" charset="0"/>
          </a:endParaRPr>
        </a:p>
        <a:p>
          <a:endParaRPr lang="en-US" sz="1000" b="0">
            <a:solidFill>
              <a:schemeClr val="bg1"/>
            </a:solidFill>
            <a:latin typeface="Cambria" panose="02040503050406030204" pitchFamily="18" charset="0"/>
            <a:ea typeface="Cambria" panose="02040503050406030204" pitchFamily="18" charset="0"/>
          </a:endParaRPr>
        </a:p>
      </xdr:txBody>
    </xdr:sp>
    <xdr:clientData/>
  </xdr:twoCellAnchor>
  <xdr:twoCellAnchor>
    <xdr:from>
      <xdr:col>3</xdr:col>
      <xdr:colOff>603250</xdr:colOff>
      <xdr:row>6</xdr:row>
      <xdr:rowOff>109389</xdr:rowOff>
    </xdr:from>
    <xdr:to>
      <xdr:col>6</xdr:col>
      <xdr:colOff>417286</xdr:colOff>
      <xdr:row>8</xdr:row>
      <xdr:rowOff>127529</xdr:rowOff>
    </xdr:to>
    <xdr:sp macro="" textlink="">
      <xdr:nvSpPr>
        <xdr:cNvPr id="110" name="TextBox 109"/>
        <xdr:cNvSpPr txBox="1"/>
      </xdr:nvSpPr>
      <xdr:spPr>
        <a:xfrm>
          <a:off x="2441015" y="1229977"/>
          <a:ext cx="1651800" cy="3916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b="1">
              <a:solidFill>
                <a:srgbClr val="E5B244"/>
              </a:solidFill>
              <a:latin typeface="Cambria" panose="02040503050406030204" pitchFamily="18" charset="0"/>
              <a:ea typeface="Cambria" panose="02040503050406030204" pitchFamily="18" charset="0"/>
            </a:rPr>
            <a:t>Employees</a:t>
          </a:r>
          <a:r>
            <a:rPr lang="en-US" sz="1200" b="1" baseline="0">
              <a:solidFill>
                <a:srgbClr val="E5B244"/>
              </a:solidFill>
              <a:latin typeface="Cambria" panose="02040503050406030204" pitchFamily="18" charset="0"/>
              <a:ea typeface="Cambria" panose="02040503050406030204" pitchFamily="18" charset="0"/>
            </a:rPr>
            <a:t> Number</a:t>
          </a:r>
          <a:endParaRPr lang="en-US" sz="1200" b="1">
            <a:solidFill>
              <a:srgbClr val="E5B244"/>
            </a:solidFill>
            <a:latin typeface="Cambria" panose="02040503050406030204" pitchFamily="18" charset="0"/>
            <a:ea typeface="Cambria" panose="02040503050406030204" pitchFamily="18" charset="0"/>
          </a:endParaRPr>
        </a:p>
        <a:p>
          <a:endParaRPr lang="en-US" sz="1100" b="1">
            <a:solidFill>
              <a:schemeClr val="bg1">
                <a:lumMod val="95000"/>
              </a:schemeClr>
            </a:solidFill>
            <a:latin typeface="Cambria" panose="02040503050406030204" pitchFamily="18" charset="0"/>
            <a:ea typeface="Cambria" panose="02040503050406030204" pitchFamily="18" charset="0"/>
          </a:endParaRPr>
        </a:p>
      </xdr:txBody>
    </xdr:sp>
    <xdr:clientData/>
  </xdr:twoCellAnchor>
  <xdr:twoCellAnchor>
    <xdr:from>
      <xdr:col>3</xdr:col>
      <xdr:colOff>527478</xdr:colOff>
      <xdr:row>13</xdr:row>
      <xdr:rowOff>94449</xdr:rowOff>
    </xdr:from>
    <xdr:to>
      <xdr:col>5</xdr:col>
      <xdr:colOff>468513</xdr:colOff>
      <xdr:row>15</xdr:row>
      <xdr:rowOff>112589</xdr:rowOff>
    </xdr:to>
    <xdr:sp macro="" textlink="">
      <xdr:nvSpPr>
        <xdr:cNvPr id="88" name="TextBox 87"/>
        <xdr:cNvSpPr txBox="1"/>
      </xdr:nvSpPr>
      <xdr:spPr>
        <a:xfrm>
          <a:off x="2365243" y="2544802"/>
          <a:ext cx="1166211" cy="3916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b="1">
              <a:solidFill>
                <a:srgbClr val="E5B244"/>
              </a:solidFill>
              <a:latin typeface="Cambria" panose="02040503050406030204" pitchFamily="18" charset="0"/>
              <a:ea typeface="Cambria" panose="02040503050406030204" pitchFamily="18" charset="0"/>
            </a:rPr>
            <a:t>Males</a:t>
          </a:r>
        </a:p>
        <a:p>
          <a:endParaRPr lang="en-US" sz="1100" b="1">
            <a:solidFill>
              <a:schemeClr val="bg1">
                <a:lumMod val="95000"/>
              </a:schemeClr>
            </a:solidFill>
            <a:latin typeface="Cambria" panose="02040503050406030204" pitchFamily="18" charset="0"/>
            <a:ea typeface="Cambria" panose="02040503050406030204" pitchFamily="18" charset="0"/>
          </a:endParaRPr>
        </a:p>
      </xdr:txBody>
    </xdr:sp>
    <xdr:clientData/>
  </xdr:twoCellAnchor>
  <xdr:twoCellAnchor>
    <xdr:from>
      <xdr:col>5</xdr:col>
      <xdr:colOff>538682</xdr:colOff>
      <xdr:row>13</xdr:row>
      <xdr:rowOff>82176</xdr:rowOff>
    </xdr:from>
    <xdr:to>
      <xdr:col>7</xdr:col>
      <xdr:colOff>479718</xdr:colOff>
      <xdr:row>15</xdr:row>
      <xdr:rowOff>100316</xdr:rowOff>
    </xdr:to>
    <xdr:sp macro="" textlink="">
      <xdr:nvSpPr>
        <xdr:cNvPr id="89" name="TextBox 88"/>
        <xdr:cNvSpPr txBox="1"/>
      </xdr:nvSpPr>
      <xdr:spPr>
        <a:xfrm>
          <a:off x="3601623" y="2532529"/>
          <a:ext cx="1166213" cy="3916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b="1">
              <a:solidFill>
                <a:srgbClr val="E5B244"/>
              </a:solidFill>
              <a:latin typeface="Cambria" panose="02040503050406030204" pitchFamily="18" charset="0"/>
              <a:ea typeface="Cambria" panose="02040503050406030204" pitchFamily="18" charset="0"/>
            </a:rPr>
            <a:t>Females</a:t>
          </a:r>
        </a:p>
        <a:p>
          <a:endParaRPr lang="en-US" sz="1100" b="1">
            <a:solidFill>
              <a:schemeClr val="bg1">
                <a:lumMod val="95000"/>
              </a:schemeClr>
            </a:solidFill>
            <a:latin typeface="Cambria" panose="02040503050406030204" pitchFamily="18" charset="0"/>
            <a:ea typeface="Cambria" panose="02040503050406030204" pitchFamily="18" charset="0"/>
          </a:endParaRPr>
        </a:p>
      </xdr:txBody>
    </xdr:sp>
    <xdr:clientData/>
  </xdr:twoCellAnchor>
  <xdr:twoCellAnchor>
    <xdr:from>
      <xdr:col>5</xdr:col>
      <xdr:colOff>343647</xdr:colOff>
      <xdr:row>13</xdr:row>
      <xdr:rowOff>186763</xdr:rowOff>
    </xdr:from>
    <xdr:to>
      <xdr:col>7</xdr:col>
      <xdr:colOff>470647</xdr:colOff>
      <xdr:row>19</xdr:row>
      <xdr:rowOff>171822</xdr:rowOff>
    </xdr:to>
    <xdr:graphicFrame macro="">
      <xdr:nvGraphicFramePr>
        <xdr:cNvPr id="90" name="Chart 8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577369</xdr:colOff>
      <xdr:row>14</xdr:row>
      <xdr:rowOff>0</xdr:rowOff>
    </xdr:from>
    <xdr:to>
      <xdr:col>5</xdr:col>
      <xdr:colOff>418353</xdr:colOff>
      <xdr:row>19</xdr:row>
      <xdr:rowOff>78441</xdr:rowOff>
    </xdr:to>
    <xdr:graphicFrame macro="">
      <xdr:nvGraphicFramePr>
        <xdr:cNvPr id="96" name="Chart 9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4</xdr:col>
      <xdr:colOff>201172</xdr:colOff>
      <xdr:row>16</xdr:row>
      <xdr:rowOff>29883</xdr:rowOff>
    </xdr:from>
    <xdr:ext cx="495007" cy="311496"/>
    <xdr:sp macro="" textlink="PivotTables!L21">
      <xdr:nvSpPr>
        <xdr:cNvPr id="11" name="TextBox 10"/>
        <xdr:cNvSpPr txBox="1"/>
      </xdr:nvSpPr>
      <xdr:spPr>
        <a:xfrm>
          <a:off x="2651525" y="3018118"/>
          <a:ext cx="49500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9D8D84E-EBBC-4A87-95EA-1EE745CBD450}" type="TxLink">
            <a:rPr lang="en-US" sz="1400" b="1" i="0" u="none" strike="noStrike">
              <a:solidFill>
                <a:schemeClr val="bg1">
                  <a:lumMod val="95000"/>
                </a:schemeClr>
              </a:solidFill>
              <a:latin typeface="Calibri"/>
              <a:ea typeface="Calibri"/>
              <a:cs typeface="Calibri"/>
            </a:rPr>
            <a:pPr/>
            <a:t>50%</a:t>
          </a:fld>
          <a:endParaRPr lang="en-US" sz="1400" b="1">
            <a:solidFill>
              <a:schemeClr val="bg1">
                <a:lumMod val="95000"/>
              </a:schemeClr>
            </a:solidFill>
          </a:endParaRPr>
        </a:p>
      </xdr:txBody>
    </xdr:sp>
    <xdr:clientData/>
  </xdr:oneCellAnchor>
  <xdr:oneCellAnchor>
    <xdr:from>
      <xdr:col>6</xdr:col>
      <xdr:colOff>197436</xdr:colOff>
      <xdr:row>16</xdr:row>
      <xdr:rowOff>29882</xdr:rowOff>
    </xdr:from>
    <xdr:ext cx="497508" cy="311496"/>
    <xdr:sp macro="" textlink="PivotTables!L22">
      <xdr:nvSpPr>
        <xdr:cNvPr id="114" name="TextBox 113"/>
        <xdr:cNvSpPr txBox="1"/>
      </xdr:nvSpPr>
      <xdr:spPr>
        <a:xfrm>
          <a:off x="3872965" y="3018117"/>
          <a:ext cx="49750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02B118B3-B7D8-44B4-AFD7-27CF02AFC5FA}" type="TxLink">
            <a:rPr lang="en-US" sz="1400" b="1" i="0" u="none" strike="noStrike">
              <a:solidFill>
                <a:schemeClr val="bg1">
                  <a:lumMod val="95000"/>
                </a:schemeClr>
              </a:solidFill>
              <a:latin typeface="Calibri"/>
              <a:ea typeface="Calibri"/>
              <a:cs typeface="Calibri"/>
            </a:rPr>
            <a:pPr marL="0" indent="0"/>
            <a:t>50%</a:t>
          </a:fld>
          <a:endParaRPr lang="en-US" sz="1400" b="1" i="0" u="none" strike="noStrike">
            <a:solidFill>
              <a:schemeClr val="bg1">
                <a:lumMod val="95000"/>
              </a:schemeClr>
            </a:solidFill>
            <a:latin typeface="Calibri"/>
            <a:ea typeface="Calibri"/>
            <a:cs typeface="Calibri"/>
          </a:endParaRPr>
        </a:p>
      </xdr:txBody>
    </xdr:sp>
    <xdr:clientData/>
  </xdr:oneCellAnchor>
  <xdr:twoCellAnchor>
    <xdr:from>
      <xdr:col>8</xdr:col>
      <xdr:colOff>89647</xdr:colOff>
      <xdr:row>8</xdr:row>
      <xdr:rowOff>141941</xdr:rowOff>
    </xdr:from>
    <xdr:to>
      <xdr:col>11</xdr:col>
      <xdr:colOff>522941</xdr:colOff>
      <xdr:row>19</xdr:row>
      <xdr:rowOff>104588</xdr:rowOff>
    </xdr:to>
    <xdr:graphicFrame macro="">
      <xdr:nvGraphicFramePr>
        <xdr:cNvPr id="115" name="Chart 1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396474</xdr:colOff>
      <xdr:row>11</xdr:row>
      <xdr:rowOff>82179</xdr:rowOff>
    </xdr:from>
    <xdr:to>
      <xdr:col>15</xdr:col>
      <xdr:colOff>251329</xdr:colOff>
      <xdr:row>13</xdr:row>
      <xdr:rowOff>100321</xdr:rowOff>
    </xdr:to>
    <xdr:sp macro="" textlink="">
      <xdr:nvSpPr>
        <xdr:cNvPr id="116" name="TextBox 115"/>
        <xdr:cNvSpPr txBox="1"/>
      </xdr:nvSpPr>
      <xdr:spPr>
        <a:xfrm>
          <a:off x="8360121" y="2136591"/>
          <a:ext cx="1080032" cy="3916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US" sz="900">
            <a:solidFill>
              <a:schemeClr val="bg1">
                <a:lumMod val="95000"/>
              </a:schemeClr>
            </a:solidFill>
            <a:latin typeface="Cambria" panose="02040503050406030204" pitchFamily="18" charset="0"/>
            <a:ea typeface="Cambria" panose="02040503050406030204" pitchFamily="18" charset="0"/>
          </a:endParaRPr>
        </a:p>
      </xdr:txBody>
    </xdr:sp>
    <xdr:clientData/>
  </xdr:twoCellAnchor>
  <xdr:twoCellAnchor>
    <xdr:from>
      <xdr:col>8</xdr:col>
      <xdr:colOff>188897</xdr:colOff>
      <xdr:row>6</xdr:row>
      <xdr:rowOff>100321</xdr:rowOff>
    </xdr:from>
    <xdr:to>
      <xdr:col>10</xdr:col>
      <xdr:colOff>194235</xdr:colOff>
      <xdr:row>8</xdr:row>
      <xdr:rowOff>118461</xdr:rowOff>
    </xdr:to>
    <xdr:sp macro="" textlink="">
      <xdr:nvSpPr>
        <xdr:cNvPr id="118" name="TextBox 117"/>
        <xdr:cNvSpPr txBox="1"/>
      </xdr:nvSpPr>
      <xdr:spPr>
        <a:xfrm>
          <a:off x="5089603" y="1220909"/>
          <a:ext cx="1230514" cy="3916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b="1">
              <a:solidFill>
                <a:srgbClr val="E5B244"/>
              </a:solidFill>
              <a:latin typeface="Cambria" panose="02040503050406030204" pitchFamily="18" charset="0"/>
              <a:ea typeface="Cambria" panose="02040503050406030204" pitchFamily="18" charset="0"/>
            </a:rPr>
            <a:t>Leave</a:t>
          </a:r>
          <a:r>
            <a:rPr lang="en-US" sz="1200" b="1" baseline="0">
              <a:solidFill>
                <a:srgbClr val="E5B244"/>
              </a:solidFill>
              <a:latin typeface="Cambria" panose="02040503050406030204" pitchFamily="18" charset="0"/>
              <a:ea typeface="Cambria" panose="02040503050406030204" pitchFamily="18" charset="0"/>
            </a:rPr>
            <a:t> Tracking</a:t>
          </a:r>
          <a:endParaRPr lang="en-US" sz="1200" b="1">
            <a:solidFill>
              <a:srgbClr val="E5B244"/>
            </a:solidFill>
            <a:latin typeface="Cambria" panose="02040503050406030204" pitchFamily="18" charset="0"/>
            <a:ea typeface="Cambria" panose="02040503050406030204" pitchFamily="18" charset="0"/>
          </a:endParaRPr>
        </a:p>
        <a:p>
          <a:endParaRPr lang="en-US" sz="1100" b="1">
            <a:solidFill>
              <a:schemeClr val="bg1">
                <a:lumMod val="95000"/>
              </a:schemeClr>
            </a:solidFill>
            <a:latin typeface="Cambria" panose="02040503050406030204" pitchFamily="18" charset="0"/>
            <a:ea typeface="Cambria" panose="02040503050406030204" pitchFamily="18" charset="0"/>
          </a:endParaRPr>
        </a:p>
      </xdr:txBody>
    </xdr:sp>
    <xdr:clientData/>
  </xdr:twoCellAnchor>
  <xdr:twoCellAnchor>
    <xdr:from>
      <xdr:col>8</xdr:col>
      <xdr:colOff>194767</xdr:colOff>
      <xdr:row>7</xdr:row>
      <xdr:rowOff>118465</xdr:rowOff>
    </xdr:from>
    <xdr:to>
      <xdr:col>11</xdr:col>
      <xdr:colOff>221982</xdr:colOff>
      <xdr:row>9</xdr:row>
      <xdr:rowOff>136606</xdr:rowOff>
    </xdr:to>
    <xdr:sp macro="" textlink="">
      <xdr:nvSpPr>
        <xdr:cNvPr id="119" name="TextBox 118"/>
        <xdr:cNvSpPr txBox="1"/>
      </xdr:nvSpPr>
      <xdr:spPr>
        <a:xfrm>
          <a:off x="5095473" y="1425818"/>
          <a:ext cx="1864980" cy="3916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900" b="0">
              <a:solidFill>
                <a:schemeClr val="tx1">
                  <a:lumMod val="50000"/>
                  <a:lumOff val="50000"/>
                </a:schemeClr>
              </a:solidFill>
              <a:latin typeface="Cambria" panose="02040503050406030204" pitchFamily="18" charset="0"/>
              <a:ea typeface="Cambria" panose="02040503050406030204" pitchFamily="18" charset="0"/>
            </a:rPr>
            <a:t>Leave</a:t>
          </a:r>
          <a:r>
            <a:rPr lang="en-US" sz="900" b="0" baseline="0">
              <a:solidFill>
                <a:schemeClr val="tx1">
                  <a:lumMod val="50000"/>
                  <a:lumOff val="50000"/>
                </a:schemeClr>
              </a:solidFill>
              <a:latin typeface="Cambria" panose="02040503050406030204" pitchFamily="18" charset="0"/>
              <a:ea typeface="Cambria" panose="02040503050406030204" pitchFamily="18" charset="0"/>
            </a:rPr>
            <a:t> taken by job title</a:t>
          </a:r>
          <a:endParaRPr lang="en-US" sz="900" b="0">
            <a:solidFill>
              <a:schemeClr val="tx1">
                <a:lumMod val="50000"/>
                <a:lumOff val="50000"/>
              </a:schemeClr>
            </a:solidFill>
            <a:latin typeface="Cambria" panose="02040503050406030204" pitchFamily="18" charset="0"/>
            <a:ea typeface="Cambria" panose="02040503050406030204" pitchFamily="18" charset="0"/>
          </a:endParaRPr>
        </a:p>
        <a:p>
          <a:endParaRPr lang="en-US" sz="1100" b="1">
            <a:solidFill>
              <a:schemeClr val="bg1">
                <a:lumMod val="95000"/>
              </a:schemeClr>
            </a:solidFill>
            <a:latin typeface="Cambria" panose="02040503050406030204" pitchFamily="18" charset="0"/>
            <a:ea typeface="Cambria" panose="02040503050406030204" pitchFamily="18" charset="0"/>
          </a:endParaRPr>
        </a:p>
      </xdr:txBody>
    </xdr:sp>
    <xdr:clientData/>
  </xdr:twoCellAnchor>
  <xdr:twoCellAnchor>
    <xdr:from>
      <xdr:col>12</xdr:col>
      <xdr:colOff>403412</xdr:colOff>
      <xdr:row>11</xdr:row>
      <xdr:rowOff>104587</xdr:rowOff>
    </xdr:from>
    <xdr:to>
      <xdr:col>16</xdr:col>
      <xdr:colOff>425825</xdr:colOff>
      <xdr:row>18</xdr:row>
      <xdr:rowOff>74705</xdr:rowOff>
    </xdr:to>
    <xdr:graphicFrame macro="">
      <xdr:nvGraphicFramePr>
        <xdr:cNvPr id="111" name="Chart 1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519738</xdr:colOff>
      <xdr:row>9</xdr:row>
      <xdr:rowOff>33088</xdr:rowOff>
    </xdr:from>
    <xdr:to>
      <xdr:col>14</xdr:col>
      <xdr:colOff>356452</xdr:colOff>
      <xdr:row>11</xdr:row>
      <xdr:rowOff>51228</xdr:rowOff>
    </xdr:to>
    <xdr:sp macro="" textlink="">
      <xdr:nvSpPr>
        <xdr:cNvPr id="112" name="TextBox 111"/>
        <xdr:cNvSpPr txBox="1"/>
      </xdr:nvSpPr>
      <xdr:spPr>
        <a:xfrm>
          <a:off x="7813167" y="1665945"/>
          <a:ext cx="1052285" cy="3809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b="1">
              <a:solidFill>
                <a:srgbClr val="E5B244"/>
              </a:solidFill>
              <a:latin typeface="Cambria" panose="02040503050406030204" pitchFamily="18" charset="0"/>
              <a:ea typeface="Cambria" panose="02040503050406030204" pitchFamily="18" charset="0"/>
            </a:rPr>
            <a:t>Regions</a:t>
          </a:r>
        </a:p>
        <a:p>
          <a:endParaRPr lang="en-US" sz="1100" b="1">
            <a:solidFill>
              <a:schemeClr val="bg1">
                <a:lumMod val="95000"/>
              </a:schemeClr>
            </a:solidFill>
            <a:latin typeface="Cambria" panose="02040503050406030204" pitchFamily="18" charset="0"/>
            <a:ea typeface="Cambria" panose="02040503050406030204" pitchFamily="18" charset="0"/>
          </a:endParaRPr>
        </a:p>
      </xdr:txBody>
    </xdr:sp>
    <xdr:clientData/>
  </xdr:twoCellAnchor>
  <xdr:twoCellAnchor>
    <xdr:from>
      <xdr:col>12</xdr:col>
      <xdr:colOff>525607</xdr:colOff>
      <xdr:row>10</xdr:row>
      <xdr:rowOff>58701</xdr:rowOff>
    </xdr:from>
    <xdr:to>
      <xdr:col>15</xdr:col>
      <xdr:colOff>552822</xdr:colOff>
      <xdr:row>12</xdr:row>
      <xdr:rowOff>76842</xdr:rowOff>
    </xdr:to>
    <xdr:sp macro="" textlink="">
      <xdr:nvSpPr>
        <xdr:cNvPr id="113" name="TextBox 112"/>
        <xdr:cNvSpPr txBox="1"/>
      </xdr:nvSpPr>
      <xdr:spPr>
        <a:xfrm>
          <a:off x="7819036" y="1872987"/>
          <a:ext cx="1850572" cy="380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900" b="0">
              <a:solidFill>
                <a:schemeClr val="tx1">
                  <a:lumMod val="50000"/>
                  <a:lumOff val="50000"/>
                </a:schemeClr>
              </a:solidFill>
              <a:latin typeface="Cambria" panose="02040503050406030204" pitchFamily="18" charset="0"/>
              <a:ea typeface="Cambria" panose="02040503050406030204" pitchFamily="18" charset="0"/>
            </a:rPr>
            <a:t>Employees</a:t>
          </a:r>
          <a:r>
            <a:rPr lang="en-US" sz="900" b="0" baseline="0">
              <a:solidFill>
                <a:schemeClr val="tx1">
                  <a:lumMod val="50000"/>
                  <a:lumOff val="50000"/>
                </a:schemeClr>
              </a:solidFill>
              <a:latin typeface="Cambria" panose="02040503050406030204" pitchFamily="18" charset="0"/>
              <a:ea typeface="Cambria" panose="02040503050406030204" pitchFamily="18" charset="0"/>
            </a:rPr>
            <a:t> per region</a:t>
          </a:r>
          <a:endParaRPr lang="en-US" sz="900" b="0">
            <a:solidFill>
              <a:schemeClr val="tx1">
                <a:lumMod val="50000"/>
                <a:lumOff val="50000"/>
              </a:schemeClr>
            </a:solidFill>
            <a:latin typeface="Cambria" panose="02040503050406030204" pitchFamily="18" charset="0"/>
            <a:ea typeface="Cambria" panose="02040503050406030204" pitchFamily="18" charset="0"/>
          </a:endParaRPr>
        </a:p>
        <a:p>
          <a:endParaRPr lang="en-US" sz="1100" b="1">
            <a:solidFill>
              <a:schemeClr val="bg1">
                <a:lumMod val="95000"/>
              </a:schemeClr>
            </a:solidFill>
            <a:latin typeface="Cambria" panose="02040503050406030204" pitchFamily="18" charset="0"/>
            <a:ea typeface="Cambria" panose="02040503050406030204" pitchFamily="18" charset="0"/>
          </a:endParaRPr>
        </a:p>
      </xdr:txBody>
    </xdr:sp>
    <xdr:clientData/>
  </xdr:twoCellAnchor>
  <xdr:twoCellAnchor>
    <xdr:from>
      <xdr:col>13</xdr:col>
      <xdr:colOff>404744</xdr:colOff>
      <xdr:row>3</xdr:row>
      <xdr:rowOff>11206</xdr:rowOff>
    </xdr:from>
    <xdr:to>
      <xdr:col>15</xdr:col>
      <xdr:colOff>241456</xdr:colOff>
      <xdr:row>6</xdr:row>
      <xdr:rowOff>129135</xdr:rowOff>
    </xdr:to>
    <xdr:sp macro="" textlink="PivotTables!Y18">
      <xdr:nvSpPr>
        <xdr:cNvPr id="117" name="TextBox 116"/>
        <xdr:cNvSpPr txBox="1"/>
      </xdr:nvSpPr>
      <xdr:spPr>
        <a:xfrm>
          <a:off x="8368391" y="571500"/>
          <a:ext cx="1061889" cy="6782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F423D9D0-5E09-4686-8BAF-376E20485FFB}" type="TxLink">
            <a:rPr lang="en-US" sz="4000" b="1" i="0" u="none" strike="noStrike">
              <a:solidFill>
                <a:schemeClr val="bg1"/>
              </a:solidFill>
              <a:latin typeface="Calibri"/>
              <a:ea typeface="Calibri"/>
              <a:cs typeface="Calibri"/>
            </a:rPr>
            <a:pPr algn="ctr"/>
            <a:t>3.5</a:t>
          </a:fld>
          <a:endParaRPr lang="en-US" sz="4000" b="1">
            <a:solidFill>
              <a:schemeClr val="bg1"/>
            </a:solidFill>
            <a:latin typeface="Cambria" panose="02040503050406030204" pitchFamily="18" charset="0"/>
            <a:ea typeface="Cambria" panose="02040503050406030204" pitchFamily="18" charset="0"/>
          </a:endParaRPr>
        </a:p>
      </xdr:txBody>
    </xdr:sp>
    <xdr:clientData/>
  </xdr:twoCellAnchor>
  <xdr:twoCellAnchor>
    <xdr:from>
      <xdr:col>13</xdr:col>
      <xdr:colOff>467712</xdr:colOff>
      <xdr:row>6</xdr:row>
      <xdr:rowOff>83244</xdr:rowOff>
    </xdr:from>
    <xdr:to>
      <xdr:col>16</xdr:col>
      <xdr:colOff>50159</xdr:colOff>
      <xdr:row>8</xdr:row>
      <xdr:rowOff>101384</xdr:rowOff>
    </xdr:to>
    <xdr:sp macro="" textlink="">
      <xdr:nvSpPr>
        <xdr:cNvPr id="120" name="TextBox 119"/>
        <xdr:cNvSpPr txBox="1"/>
      </xdr:nvSpPr>
      <xdr:spPr>
        <a:xfrm>
          <a:off x="8431359" y="1203832"/>
          <a:ext cx="1420212" cy="3916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000" b="0">
              <a:solidFill>
                <a:schemeClr val="bg1"/>
              </a:solidFill>
              <a:latin typeface="Cambria" panose="02040503050406030204" pitchFamily="18" charset="0"/>
              <a:ea typeface="Cambria" panose="02040503050406030204" pitchFamily="18" charset="0"/>
            </a:rPr>
            <a:t>Average</a:t>
          </a:r>
          <a:r>
            <a:rPr lang="en-US" sz="1000" b="0" baseline="0">
              <a:solidFill>
                <a:schemeClr val="bg1"/>
              </a:solidFill>
              <a:latin typeface="Cambria" panose="02040503050406030204" pitchFamily="18" charset="0"/>
              <a:ea typeface="Cambria" panose="02040503050406030204" pitchFamily="18" charset="0"/>
            </a:rPr>
            <a:t> Rating</a:t>
          </a:r>
          <a:endParaRPr lang="en-US" sz="1000" b="0">
            <a:solidFill>
              <a:schemeClr val="bg1"/>
            </a:solidFill>
            <a:latin typeface="Cambria" panose="02040503050406030204" pitchFamily="18" charset="0"/>
            <a:ea typeface="Cambria" panose="02040503050406030204" pitchFamily="18" charset="0"/>
          </a:endParaRPr>
        </a:p>
        <a:p>
          <a:endParaRPr lang="en-US" sz="1000" b="0">
            <a:solidFill>
              <a:schemeClr val="bg1"/>
            </a:solidFill>
            <a:latin typeface="Cambria" panose="02040503050406030204" pitchFamily="18" charset="0"/>
            <a:ea typeface="Cambria" panose="02040503050406030204" pitchFamily="18" charset="0"/>
          </a:endParaRPr>
        </a:p>
      </xdr:txBody>
    </xdr:sp>
    <xdr:clientData/>
  </xdr:twoCellAnchor>
  <xdr:twoCellAnchor>
    <xdr:from>
      <xdr:col>12</xdr:col>
      <xdr:colOff>481850</xdr:colOff>
      <xdr:row>0</xdr:row>
      <xdr:rowOff>163290</xdr:rowOff>
    </xdr:from>
    <xdr:to>
      <xdr:col>15</xdr:col>
      <xdr:colOff>343113</xdr:colOff>
      <xdr:row>3</xdr:row>
      <xdr:rowOff>1</xdr:rowOff>
    </xdr:to>
    <xdr:sp macro="" textlink="">
      <xdr:nvSpPr>
        <xdr:cNvPr id="121" name="TextBox 120"/>
        <xdr:cNvSpPr txBox="1"/>
      </xdr:nvSpPr>
      <xdr:spPr>
        <a:xfrm>
          <a:off x="7832909" y="163290"/>
          <a:ext cx="1699028" cy="3970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b="1">
              <a:solidFill>
                <a:srgbClr val="E5B244"/>
              </a:solidFill>
              <a:latin typeface="Cambria" panose="02040503050406030204" pitchFamily="18" charset="0"/>
              <a:ea typeface="Cambria" panose="02040503050406030204" pitchFamily="18" charset="0"/>
            </a:rPr>
            <a:t>Performance</a:t>
          </a:r>
          <a:r>
            <a:rPr lang="en-US" sz="1200" b="1" baseline="0">
              <a:solidFill>
                <a:srgbClr val="E5B244"/>
              </a:solidFill>
              <a:latin typeface="Cambria" panose="02040503050406030204" pitchFamily="18" charset="0"/>
              <a:ea typeface="Cambria" panose="02040503050406030204" pitchFamily="18" charset="0"/>
            </a:rPr>
            <a:t> Rating</a:t>
          </a:r>
          <a:endParaRPr lang="en-US" sz="1200" b="1">
            <a:solidFill>
              <a:srgbClr val="E5B244"/>
            </a:solidFill>
            <a:latin typeface="Cambria" panose="02040503050406030204" pitchFamily="18" charset="0"/>
            <a:ea typeface="Cambria" panose="02040503050406030204" pitchFamily="18" charset="0"/>
          </a:endParaRPr>
        </a:p>
        <a:p>
          <a:endParaRPr lang="en-US" sz="1100" b="1">
            <a:solidFill>
              <a:schemeClr val="bg1">
                <a:lumMod val="95000"/>
              </a:schemeClr>
            </a:solidFill>
            <a:latin typeface="Cambria" panose="02040503050406030204" pitchFamily="18" charset="0"/>
            <a:ea typeface="Cambria" panose="02040503050406030204" pitchFamily="18" charset="0"/>
          </a:endParaRPr>
        </a:p>
      </xdr:txBody>
    </xdr:sp>
    <xdr:clientData/>
  </xdr:twoCellAnchor>
  <xdr:twoCellAnchor>
    <xdr:from>
      <xdr:col>12</xdr:col>
      <xdr:colOff>489322</xdr:colOff>
      <xdr:row>1</xdr:row>
      <xdr:rowOff>185168</xdr:rowOff>
    </xdr:from>
    <xdr:to>
      <xdr:col>15</xdr:col>
      <xdr:colOff>516537</xdr:colOff>
      <xdr:row>4</xdr:row>
      <xdr:rowOff>16545</xdr:rowOff>
    </xdr:to>
    <xdr:sp macro="" textlink="">
      <xdr:nvSpPr>
        <xdr:cNvPr id="122" name="TextBox 121"/>
        <xdr:cNvSpPr txBox="1"/>
      </xdr:nvSpPr>
      <xdr:spPr>
        <a:xfrm>
          <a:off x="7840381" y="371933"/>
          <a:ext cx="1864980" cy="3916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900" b="0">
              <a:solidFill>
                <a:schemeClr val="tx1">
                  <a:lumMod val="50000"/>
                  <a:lumOff val="50000"/>
                </a:schemeClr>
              </a:solidFill>
              <a:latin typeface="Cambria" panose="02040503050406030204" pitchFamily="18" charset="0"/>
              <a:ea typeface="Cambria" panose="02040503050406030204" pitchFamily="18" charset="0"/>
            </a:rPr>
            <a:t>Average</a:t>
          </a:r>
          <a:r>
            <a:rPr lang="en-US" sz="900" b="0" baseline="0">
              <a:solidFill>
                <a:schemeClr val="tx1">
                  <a:lumMod val="50000"/>
                  <a:lumOff val="50000"/>
                </a:schemeClr>
              </a:solidFill>
              <a:latin typeface="Cambria" panose="02040503050406030204" pitchFamily="18" charset="0"/>
              <a:ea typeface="Cambria" panose="02040503050406030204" pitchFamily="18" charset="0"/>
            </a:rPr>
            <a:t> Performance Rating</a:t>
          </a:r>
          <a:endParaRPr lang="en-US" sz="900" b="0">
            <a:solidFill>
              <a:schemeClr val="tx1">
                <a:lumMod val="50000"/>
                <a:lumOff val="50000"/>
              </a:schemeClr>
            </a:solidFill>
            <a:latin typeface="Cambria" panose="02040503050406030204" pitchFamily="18" charset="0"/>
            <a:ea typeface="Cambria" panose="02040503050406030204" pitchFamily="18" charset="0"/>
          </a:endParaRPr>
        </a:p>
        <a:p>
          <a:endParaRPr lang="en-US" sz="1100" b="1">
            <a:solidFill>
              <a:schemeClr val="bg1">
                <a:lumMod val="95000"/>
              </a:schemeClr>
            </a:solidFill>
            <a:latin typeface="Cambria" panose="02040503050406030204" pitchFamily="18" charset="0"/>
            <a:ea typeface="Cambria" panose="02040503050406030204" pitchFamily="18" charset="0"/>
          </a:endParaRPr>
        </a:p>
      </xdr:txBody>
    </xdr:sp>
    <xdr:clientData/>
  </xdr:twoCellAnchor>
  <xdr:twoCellAnchor>
    <xdr:from>
      <xdr:col>12</xdr:col>
      <xdr:colOff>380999</xdr:colOff>
      <xdr:row>19</xdr:row>
      <xdr:rowOff>108856</xdr:rowOff>
    </xdr:from>
    <xdr:to>
      <xdr:col>12</xdr:col>
      <xdr:colOff>472439</xdr:colOff>
      <xdr:row>20</xdr:row>
      <xdr:rowOff>18868</xdr:rowOff>
    </xdr:to>
    <xdr:sp macro="" textlink="">
      <xdr:nvSpPr>
        <xdr:cNvPr id="125" name="Oval 124"/>
        <xdr:cNvSpPr/>
      </xdr:nvSpPr>
      <xdr:spPr>
        <a:xfrm>
          <a:off x="7674428" y="3555999"/>
          <a:ext cx="91440" cy="91440"/>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351116</xdr:colOff>
      <xdr:row>17</xdr:row>
      <xdr:rowOff>126999</xdr:rowOff>
    </xdr:from>
    <xdr:to>
      <xdr:col>0</xdr:col>
      <xdr:colOff>444301</xdr:colOff>
      <xdr:row>18</xdr:row>
      <xdr:rowOff>29150</xdr:rowOff>
    </xdr:to>
    <xdr:sp macro="" textlink="">
      <xdr:nvSpPr>
        <xdr:cNvPr id="132" name="Oval 131"/>
        <xdr:cNvSpPr/>
      </xdr:nvSpPr>
      <xdr:spPr>
        <a:xfrm>
          <a:off x="351116" y="3301999"/>
          <a:ext cx="93185" cy="88916"/>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448234</xdr:colOff>
      <xdr:row>7</xdr:row>
      <xdr:rowOff>156880</xdr:rowOff>
    </xdr:from>
    <xdr:to>
      <xdr:col>0</xdr:col>
      <xdr:colOff>448235</xdr:colOff>
      <xdr:row>9</xdr:row>
      <xdr:rowOff>164352</xdr:rowOff>
    </xdr:to>
    <xdr:cxnSp macro="">
      <xdr:nvCxnSpPr>
        <xdr:cNvPr id="18" name="Straight Connector 17"/>
        <xdr:cNvCxnSpPr/>
      </xdr:nvCxnSpPr>
      <xdr:spPr>
        <a:xfrm>
          <a:off x="448234" y="1464233"/>
          <a:ext cx="1" cy="403413"/>
        </a:xfrm>
        <a:prstGeom prst="line">
          <a:avLst/>
        </a:prstGeom>
        <a:ln w="25400" cap="rnd">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351118</xdr:colOff>
      <xdr:row>16</xdr:row>
      <xdr:rowOff>44822</xdr:rowOff>
    </xdr:from>
    <xdr:to>
      <xdr:col>0</xdr:col>
      <xdr:colOff>444303</xdr:colOff>
      <xdr:row>16</xdr:row>
      <xdr:rowOff>133738</xdr:rowOff>
    </xdr:to>
    <xdr:sp macro="" textlink="">
      <xdr:nvSpPr>
        <xdr:cNvPr id="144" name="Oval 143"/>
        <xdr:cNvSpPr/>
      </xdr:nvSpPr>
      <xdr:spPr>
        <a:xfrm>
          <a:off x="351118" y="3033057"/>
          <a:ext cx="93185" cy="88916"/>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358589</xdr:colOff>
      <xdr:row>14</xdr:row>
      <xdr:rowOff>141940</xdr:rowOff>
    </xdr:from>
    <xdr:to>
      <xdr:col>0</xdr:col>
      <xdr:colOff>451774</xdr:colOff>
      <xdr:row>15</xdr:row>
      <xdr:rowOff>44091</xdr:rowOff>
    </xdr:to>
    <xdr:sp macro="" textlink="">
      <xdr:nvSpPr>
        <xdr:cNvPr id="145" name="Oval 144"/>
        <xdr:cNvSpPr/>
      </xdr:nvSpPr>
      <xdr:spPr>
        <a:xfrm>
          <a:off x="358589" y="2756646"/>
          <a:ext cx="93185" cy="88916"/>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3</xdr:col>
      <xdr:colOff>567764</xdr:colOff>
      <xdr:row>7</xdr:row>
      <xdr:rowOff>22412</xdr:rowOff>
    </xdr:from>
    <xdr:to>
      <xdr:col>4</xdr:col>
      <xdr:colOff>48361</xdr:colOff>
      <xdr:row>7</xdr:row>
      <xdr:rowOff>111328</xdr:rowOff>
    </xdr:to>
    <xdr:sp macro="" textlink="">
      <xdr:nvSpPr>
        <xdr:cNvPr id="146" name="Oval 145"/>
        <xdr:cNvSpPr/>
      </xdr:nvSpPr>
      <xdr:spPr>
        <a:xfrm>
          <a:off x="2405529" y="1329765"/>
          <a:ext cx="93185" cy="88916"/>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358590</xdr:colOff>
      <xdr:row>13</xdr:row>
      <xdr:rowOff>37351</xdr:rowOff>
    </xdr:from>
    <xdr:to>
      <xdr:col>0</xdr:col>
      <xdr:colOff>451775</xdr:colOff>
      <xdr:row>13</xdr:row>
      <xdr:rowOff>126267</xdr:rowOff>
    </xdr:to>
    <xdr:sp macro="" textlink="">
      <xdr:nvSpPr>
        <xdr:cNvPr id="147" name="Oval 146"/>
        <xdr:cNvSpPr/>
      </xdr:nvSpPr>
      <xdr:spPr>
        <a:xfrm>
          <a:off x="358590" y="2465292"/>
          <a:ext cx="93185" cy="88916"/>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4</xdr:col>
      <xdr:colOff>0</xdr:colOff>
      <xdr:row>21</xdr:row>
      <xdr:rowOff>14938</xdr:rowOff>
    </xdr:from>
    <xdr:to>
      <xdr:col>4</xdr:col>
      <xdr:colOff>93185</xdr:colOff>
      <xdr:row>21</xdr:row>
      <xdr:rowOff>103854</xdr:rowOff>
    </xdr:to>
    <xdr:sp macro="" textlink="">
      <xdr:nvSpPr>
        <xdr:cNvPr id="149" name="Oval 148"/>
        <xdr:cNvSpPr/>
      </xdr:nvSpPr>
      <xdr:spPr>
        <a:xfrm>
          <a:off x="2450353" y="3936997"/>
          <a:ext cx="93185" cy="88916"/>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298823</xdr:colOff>
      <xdr:row>21</xdr:row>
      <xdr:rowOff>164352</xdr:rowOff>
    </xdr:from>
    <xdr:to>
      <xdr:col>0</xdr:col>
      <xdr:colOff>392008</xdr:colOff>
      <xdr:row>22</xdr:row>
      <xdr:rowOff>66503</xdr:rowOff>
    </xdr:to>
    <xdr:sp macro="" textlink="">
      <xdr:nvSpPr>
        <xdr:cNvPr id="150" name="Oval 149"/>
        <xdr:cNvSpPr/>
      </xdr:nvSpPr>
      <xdr:spPr>
        <a:xfrm>
          <a:off x="298823" y="4086411"/>
          <a:ext cx="93185" cy="88916"/>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8</xdr:col>
      <xdr:colOff>149412</xdr:colOff>
      <xdr:row>20</xdr:row>
      <xdr:rowOff>119527</xdr:rowOff>
    </xdr:from>
    <xdr:to>
      <xdr:col>8</xdr:col>
      <xdr:colOff>242597</xdr:colOff>
      <xdr:row>21</xdr:row>
      <xdr:rowOff>21678</xdr:rowOff>
    </xdr:to>
    <xdr:sp macro="" textlink="">
      <xdr:nvSpPr>
        <xdr:cNvPr id="151" name="Oval 150"/>
        <xdr:cNvSpPr/>
      </xdr:nvSpPr>
      <xdr:spPr>
        <a:xfrm>
          <a:off x="5050118" y="3854821"/>
          <a:ext cx="93185" cy="88916"/>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291406</xdr:colOff>
      <xdr:row>0</xdr:row>
      <xdr:rowOff>172518</xdr:rowOff>
    </xdr:from>
    <xdr:to>
      <xdr:col>1</xdr:col>
      <xdr:colOff>380999</xdr:colOff>
      <xdr:row>2</xdr:row>
      <xdr:rowOff>164354</xdr:rowOff>
    </xdr:to>
    <xdr:sp macro="" textlink="">
      <xdr:nvSpPr>
        <xdr:cNvPr id="123" name="TextBox 122"/>
        <xdr:cNvSpPr txBox="1"/>
      </xdr:nvSpPr>
      <xdr:spPr>
        <a:xfrm>
          <a:off x="291406" y="172518"/>
          <a:ext cx="702181" cy="3653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2800" b="1" baseline="0">
              <a:solidFill>
                <a:srgbClr val="E5B244"/>
              </a:solidFill>
              <a:latin typeface="Cambria" panose="02040503050406030204" pitchFamily="18" charset="0"/>
              <a:ea typeface="Cambria" panose="02040503050406030204" pitchFamily="18" charset="0"/>
            </a:rPr>
            <a:t>HR </a:t>
          </a:r>
        </a:p>
        <a:p>
          <a:pPr algn="l"/>
          <a:endParaRPr lang="en-US" sz="1600" b="1">
            <a:solidFill>
              <a:schemeClr val="bg1">
                <a:lumMod val="95000"/>
              </a:schemeClr>
            </a:solidFill>
            <a:latin typeface="Cambria" panose="02040503050406030204" pitchFamily="18" charset="0"/>
            <a:ea typeface="Cambria" panose="02040503050406030204" pitchFamily="18" charset="0"/>
          </a:endParaRPr>
        </a:p>
      </xdr:txBody>
    </xdr:sp>
    <xdr:clientData/>
  </xdr:twoCellAnchor>
  <xdr:twoCellAnchor>
    <xdr:from>
      <xdr:col>0</xdr:col>
      <xdr:colOff>298877</xdr:colOff>
      <xdr:row>2</xdr:row>
      <xdr:rowOff>15637</xdr:rowOff>
    </xdr:from>
    <xdr:to>
      <xdr:col>3</xdr:col>
      <xdr:colOff>395941</xdr:colOff>
      <xdr:row>4</xdr:row>
      <xdr:rowOff>7472</xdr:rowOff>
    </xdr:to>
    <xdr:sp macro="" textlink="">
      <xdr:nvSpPr>
        <xdr:cNvPr id="124" name="TextBox 123"/>
        <xdr:cNvSpPr txBox="1"/>
      </xdr:nvSpPr>
      <xdr:spPr>
        <a:xfrm>
          <a:off x="298877" y="389166"/>
          <a:ext cx="1934829" cy="3653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600" b="1" baseline="0">
              <a:solidFill>
                <a:srgbClr val="E5B244"/>
              </a:solidFill>
              <a:latin typeface="Cambria" panose="02040503050406030204" pitchFamily="18" charset="0"/>
              <a:ea typeface="Cambria" panose="02040503050406030204" pitchFamily="18" charset="0"/>
            </a:rPr>
            <a:t>Dashboard</a:t>
          </a:r>
          <a:r>
            <a:rPr lang="en-US" sz="2800" b="1" baseline="0">
              <a:solidFill>
                <a:srgbClr val="E5B244"/>
              </a:solidFill>
              <a:latin typeface="Cambria" panose="02040503050406030204" pitchFamily="18" charset="0"/>
              <a:ea typeface="Cambria" panose="02040503050406030204" pitchFamily="18" charset="0"/>
            </a:rPr>
            <a:t> </a:t>
          </a:r>
        </a:p>
        <a:p>
          <a:pPr algn="l"/>
          <a:endParaRPr lang="en-US" sz="1600" b="1">
            <a:solidFill>
              <a:schemeClr val="bg1">
                <a:lumMod val="95000"/>
              </a:schemeClr>
            </a:solidFill>
            <a:latin typeface="Cambria" panose="02040503050406030204" pitchFamily="18" charset="0"/>
            <a:ea typeface="Cambria" panose="02040503050406030204" pitchFamily="18" charset="0"/>
          </a:endParaRPr>
        </a:p>
      </xdr:txBody>
    </xdr:sp>
    <xdr:clientData/>
  </xdr:twoCellAnchor>
  <xdr:twoCellAnchor>
    <xdr:from>
      <xdr:col>0</xdr:col>
      <xdr:colOff>288044</xdr:colOff>
      <xdr:row>4</xdr:row>
      <xdr:rowOff>16010</xdr:rowOff>
    </xdr:from>
    <xdr:to>
      <xdr:col>6</xdr:col>
      <xdr:colOff>519580</xdr:colOff>
      <xdr:row>6</xdr:row>
      <xdr:rowOff>5231</xdr:rowOff>
    </xdr:to>
    <xdr:sp macro="" textlink="">
      <xdr:nvSpPr>
        <xdr:cNvPr id="126" name="TextBox 125"/>
        <xdr:cNvSpPr txBox="1"/>
      </xdr:nvSpPr>
      <xdr:spPr>
        <a:xfrm>
          <a:off x="288044" y="763069"/>
          <a:ext cx="3907065" cy="362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lgn="l"/>
          <a:r>
            <a:rPr lang="en-US" sz="1050" b="0">
              <a:solidFill>
                <a:schemeClr val="tx1">
                  <a:lumMod val="50000"/>
                  <a:lumOff val="50000"/>
                </a:schemeClr>
              </a:solidFill>
              <a:latin typeface="Cambria" panose="02040503050406030204" pitchFamily="18" charset="0"/>
              <a:ea typeface="Cambria" panose="02040503050406030204" pitchFamily="18" charset="0"/>
              <a:cs typeface="+mn-cs"/>
            </a:rPr>
            <a:t>Analyze and monitor the HR department </a:t>
          </a:r>
        </a:p>
        <a:p>
          <a:pPr marL="0" indent="0" algn="l"/>
          <a:endParaRPr lang="en-US" sz="1050" b="0">
            <a:solidFill>
              <a:schemeClr val="tx1">
                <a:lumMod val="50000"/>
                <a:lumOff val="50000"/>
              </a:schemeClr>
            </a:solidFill>
            <a:latin typeface="Cambria" panose="02040503050406030204" pitchFamily="18" charset="0"/>
            <a:ea typeface="Cambria" panose="02040503050406030204" pitchFamily="18" charset="0"/>
            <a:cs typeface="+mn-cs"/>
          </a:endParaRPr>
        </a:p>
      </xdr:txBody>
    </xdr:sp>
    <xdr:clientData/>
  </xdr:twoCellAnchor>
  <xdr:twoCellAnchor editAs="oneCell">
    <xdr:from>
      <xdr:col>4</xdr:col>
      <xdr:colOff>444498</xdr:colOff>
      <xdr:row>1</xdr:row>
      <xdr:rowOff>82176</xdr:rowOff>
    </xdr:from>
    <xdr:to>
      <xdr:col>7</xdr:col>
      <xdr:colOff>444498</xdr:colOff>
      <xdr:row>4</xdr:row>
      <xdr:rowOff>137135</xdr:rowOff>
    </xdr:to>
    <mc:AlternateContent xmlns:mc="http://schemas.openxmlformats.org/markup-compatibility/2006" xmlns:a14="http://schemas.microsoft.com/office/drawing/2010/main">
      <mc:Choice Requires="a14">
        <xdr:graphicFrame macro="">
          <xdr:nvGraphicFramePr>
            <xdr:cNvPr id="127"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875641" y="263605"/>
              <a:ext cx="1823357" cy="5992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15472</xdr:colOff>
      <xdr:row>0</xdr:row>
      <xdr:rowOff>138211</xdr:rowOff>
    </xdr:from>
    <xdr:to>
      <xdr:col>7</xdr:col>
      <xdr:colOff>484521</xdr:colOff>
      <xdr:row>2</xdr:row>
      <xdr:rowOff>37353</xdr:rowOff>
    </xdr:to>
    <xdr:sp macro="" textlink="">
      <xdr:nvSpPr>
        <xdr:cNvPr id="130" name="TextBox 129"/>
        <xdr:cNvSpPr txBox="1"/>
      </xdr:nvSpPr>
      <xdr:spPr>
        <a:xfrm>
          <a:off x="3078413" y="138211"/>
          <a:ext cx="1694226" cy="2726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b="1">
              <a:solidFill>
                <a:schemeClr val="bg1"/>
              </a:solidFill>
              <a:latin typeface="Cambria" panose="02040503050406030204" pitchFamily="18" charset="0"/>
              <a:ea typeface="Cambria" panose="02040503050406030204" pitchFamily="18" charset="0"/>
            </a:rPr>
            <a:t>Filter</a:t>
          </a:r>
          <a:r>
            <a:rPr lang="en-US" sz="1200" b="1" baseline="0">
              <a:solidFill>
                <a:schemeClr val="bg1"/>
              </a:solidFill>
              <a:latin typeface="Cambria" panose="02040503050406030204" pitchFamily="18" charset="0"/>
              <a:ea typeface="Cambria" panose="02040503050406030204" pitchFamily="18" charset="0"/>
            </a:rPr>
            <a:t> by gender</a:t>
          </a:r>
          <a:endParaRPr lang="en-US" sz="1200" b="1">
            <a:solidFill>
              <a:schemeClr val="bg1"/>
            </a:solidFill>
            <a:latin typeface="Cambria" panose="02040503050406030204" pitchFamily="18" charset="0"/>
            <a:ea typeface="Cambria" panose="02040503050406030204" pitchFamily="18" charset="0"/>
          </a:endParaRPr>
        </a:p>
      </xdr:txBody>
    </xdr:sp>
    <xdr:clientData/>
  </xdr:twoCellAnchor>
  <xdr:twoCellAnchor>
    <xdr:from>
      <xdr:col>4</xdr:col>
      <xdr:colOff>582707</xdr:colOff>
      <xdr:row>1</xdr:row>
      <xdr:rowOff>44822</xdr:rowOff>
    </xdr:from>
    <xdr:to>
      <xdr:col>5</xdr:col>
      <xdr:colOff>63304</xdr:colOff>
      <xdr:row>1</xdr:row>
      <xdr:rowOff>133738</xdr:rowOff>
    </xdr:to>
    <xdr:sp macro="" textlink="">
      <xdr:nvSpPr>
        <xdr:cNvPr id="133" name="Oval 132"/>
        <xdr:cNvSpPr/>
      </xdr:nvSpPr>
      <xdr:spPr>
        <a:xfrm>
          <a:off x="3033060" y="231587"/>
          <a:ext cx="93185" cy="88916"/>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editAs="oneCell">
    <xdr:from>
      <xdr:col>8</xdr:col>
      <xdr:colOff>94451</xdr:colOff>
      <xdr:row>1</xdr:row>
      <xdr:rowOff>67235</xdr:rowOff>
    </xdr:from>
    <xdr:to>
      <xdr:col>12</xdr:col>
      <xdr:colOff>164353</xdr:colOff>
      <xdr:row>6</xdr:row>
      <xdr:rowOff>59766</xdr:rowOff>
    </xdr:to>
    <mc:AlternateContent xmlns:mc="http://schemas.openxmlformats.org/markup-compatibility/2006" xmlns:a14="http://schemas.microsoft.com/office/drawing/2010/main">
      <mc:Choice Requires="a14">
        <xdr:graphicFrame macro="">
          <xdr:nvGraphicFramePr>
            <xdr:cNvPr id="134"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995157" y="254000"/>
              <a:ext cx="2520255" cy="9263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358589</xdr:colOff>
      <xdr:row>11</xdr:row>
      <xdr:rowOff>112056</xdr:rowOff>
    </xdr:from>
    <xdr:to>
      <xdr:col>0</xdr:col>
      <xdr:colOff>451774</xdr:colOff>
      <xdr:row>12</xdr:row>
      <xdr:rowOff>14208</xdr:rowOff>
    </xdr:to>
    <xdr:sp macro="" textlink="">
      <xdr:nvSpPr>
        <xdr:cNvPr id="128" name="Oval 127"/>
        <xdr:cNvSpPr/>
      </xdr:nvSpPr>
      <xdr:spPr>
        <a:xfrm>
          <a:off x="358589" y="2166468"/>
          <a:ext cx="93185" cy="88916"/>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8</xdr:col>
      <xdr:colOff>207573</xdr:colOff>
      <xdr:row>0</xdr:row>
      <xdr:rowOff>144613</xdr:rowOff>
    </xdr:from>
    <xdr:to>
      <xdr:col>11</xdr:col>
      <xdr:colOff>68836</xdr:colOff>
      <xdr:row>2</xdr:row>
      <xdr:rowOff>162753</xdr:rowOff>
    </xdr:to>
    <xdr:sp macro="" textlink="">
      <xdr:nvSpPr>
        <xdr:cNvPr id="129" name="TextBox 128"/>
        <xdr:cNvSpPr txBox="1"/>
      </xdr:nvSpPr>
      <xdr:spPr>
        <a:xfrm>
          <a:off x="5108279" y="144613"/>
          <a:ext cx="1699028" cy="3916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b="1">
              <a:solidFill>
                <a:schemeClr val="bg1"/>
              </a:solidFill>
              <a:latin typeface="Cambria" panose="02040503050406030204" pitchFamily="18" charset="0"/>
              <a:ea typeface="Cambria" panose="02040503050406030204" pitchFamily="18" charset="0"/>
            </a:rPr>
            <a:t>Filter</a:t>
          </a:r>
          <a:r>
            <a:rPr lang="en-US" sz="1200" b="1" baseline="0">
              <a:solidFill>
                <a:schemeClr val="bg1"/>
              </a:solidFill>
              <a:latin typeface="Cambria" panose="02040503050406030204" pitchFamily="18" charset="0"/>
              <a:ea typeface="Cambria" panose="02040503050406030204" pitchFamily="18" charset="0"/>
            </a:rPr>
            <a:t> by department</a:t>
          </a:r>
          <a:endParaRPr lang="en-US" sz="1200" b="1">
            <a:solidFill>
              <a:schemeClr val="bg1"/>
            </a:solidFill>
            <a:latin typeface="Cambria" panose="02040503050406030204" pitchFamily="18" charset="0"/>
            <a:ea typeface="Cambria" panose="02040503050406030204" pitchFamily="18" charset="0"/>
          </a:endParaRPr>
        </a:p>
        <a:p>
          <a:endParaRPr lang="en-US" sz="1100" b="1">
            <a:solidFill>
              <a:schemeClr val="bg1"/>
            </a:solidFill>
            <a:latin typeface="Cambria" panose="02040503050406030204" pitchFamily="18" charset="0"/>
            <a:ea typeface="Cambria" panose="02040503050406030204" pitchFamily="18" charset="0"/>
          </a:endParaRPr>
        </a:p>
      </xdr:txBody>
    </xdr:sp>
    <xdr:clientData/>
  </xdr:twoCellAnchor>
  <xdr:twoCellAnchor>
    <xdr:from>
      <xdr:col>8</xdr:col>
      <xdr:colOff>179295</xdr:colOff>
      <xdr:row>1</xdr:row>
      <xdr:rowOff>44820</xdr:rowOff>
    </xdr:from>
    <xdr:to>
      <xdr:col>8</xdr:col>
      <xdr:colOff>272480</xdr:colOff>
      <xdr:row>1</xdr:row>
      <xdr:rowOff>133736</xdr:rowOff>
    </xdr:to>
    <xdr:sp macro="" textlink="">
      <xdr:nvSpPr>
        <xdr:cNvPr id="131" name="Oval 130"/>
        <xdr:cNvSpPr/>
      </xdr:nvSpPr>
      <xdr:spPr>
        <a:xfrm>
          <a:off x="5080001" y="231585"/>
          <a:ext cx="93185" cy="88916"/>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8</xdr:col>
      <xdr:colOff>164353</xdr:colOff>
      <xdr:row>7</xdr:row>
      <xdr:rowOff>7468</xdr:rowOff>
    </xdr:from>
    <xdr:to>
      <xdr:col>8</xdr:col>
      <xdr:colOff>257538</xdr:colOff>
      <xdr:row>7</xdr:row>
      <xdr:rowOff>96384</xdr:rowOff>
    </xdr:to>
    <xdr:sp macro="" textlink="">
      <xdr:nvSpPr>
        <xdr:cNvPr id="154" name="Oval 153"/>
        <xdr:cNvSpPr/>
      </xdr:nvSpPr>
      <xdr:spPr>
        <a:xfrm>
          <a:off x="5065059" y="1314821"/>
          <a:ext cx="93185" cy="88916"/>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12</xdr:col>
      <xdr:colOff>463176</xdr:colOff>
      <xdr:row>1</xdr:row>
      <xdr:rowOff>74704</xdr:rowOff>
    </xdr:from>
    <xdr:to>
      <xdr:col>12</xdr:col>
      <xdr:colOff>556361</xdr:colOff>
      <xdr:row>1</xdr:row>
      <xdr:rowOff>163620</xdr:rowOff>
    </xdr:to>
    <xdr:sp macro="" textlink="">
      <xdr:nvSpPr>
        <xdr:cNvPr id="155" name="Oval 154"/>
        <xdr:cNvSpPr/>
      </xdr:nvSpPr>
      <xdr:spPr>
        <a:xfrm>
          <a:off x="7814235" y="261469"/>
          <a:ext cx="93185" cy="88916"/>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12</xdr:col>
      <xdr:colOff>493059</xdr:colOff>
      <xdr:row>9</xdr:row>
      <xdr:rowOff>134468</xdr:rowOff>
    </xdr:from>
    <xdr:to>
      <xdr:col>12</xdr:col>
      <xdr:colOff>586244</xdr:colOff>
      <xdr:row>10</xdr:row>
      <xdr:rowOff>36619</xdr:rowOff>
    </xdr:to>
    <xdr:sp macro="" textlink="">
      <xdr:nvSpPr>
        <xdr:cNvPr id="156" name="Oval 155"/>
        <xdr:cNvSpPr/>
      </xdr:nvSpPr>
      <xdr:spPr>
        <a:xfrm>
          <a:off x="7844118" y="1815350"/>
          <a:ext cx="93185" cy="88916"/>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4</xdr:col>
      <xdr:colOff>455706</xdr:colOff>
      <xdr:row>1</xdr:row>
      <xdr:rowOff>156881</xdr:rowOff>
    </xdr:from>
    <xdr:to>
      <xdr:col>5</xdr:col>
      <xdr:colOff>485590</xdr:colOff>
      <xdr:row>2</xdr:row>
      <xdr:rowOff>134469</xdr:rowOff>
    </xdr:to>
    <xdr:sp macro="" textlink="">
      <xdr:nvSpPr>
        <xdr:cNvPr id="42" name="Rectangle 41"/>
        <xdr:cNvSpPr/>
      </xdr:nvSpPr>
      <xdr:spPr>
        <a:xfrm>
          <a:off x="2906059" y="343646"/>
          <a:ext cx="642472" cy="164352"/>
        </a:xfrm>
        <a:prstGeom prst="rect">
          <a:avLst/>
        </a:prstGeom>
        <a:solidFill>
          <a:srgbClr val="1F1F1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282828"/>
            </a:solidFill>
          </a:endParaRPr>
        </a:p>
      </xdr:txBody>
    </xdr:sp>
    <xdr:clientData/>
  </xdr:twoCellAnchor>
  <xdr:twoCellAnchor>
    <xdr:from>
      <xdr:col>8</xdr:col>
      <xdr:colOff>134471</xdr:colOff>
      <xdr:row>1</xdr:row>
      <xdr:rowOff>171822</xdr:rowOff>
    </xdr:from>
    <xdr:to>
      <xdr:col>9</xdr:col>
      <xdr:colOff>164355</xdr:colOff>
      <xdr:row>2</xdr:row>
      <xdr:rowOff>119527</xdr:rowOff>
    </xdr:to>
    <xdr:sp macro="" textlink="">
      <xdr:nvSpPr>
        <xdr:cNvPr id="157" name="Rectangle 156"/>
        <xdr:cNvSpPr/>
      </xdr:nvSpPr>
      <xdr:spPr>
        <a:xfrm>
          <a:off x="5035177" y="358587"/>
          <a:ext cx="642472" cy="134469"/>
        </a:xfrm>
        <a:prstGeom prst="rect">
          <a:avLst/>
        </a:prstGeom>
        <a:solidFill>
          <a:srgbClr val="1F1F1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282828"/>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244.525273611114" createdVersion="5" refreshedVersion="5" minRefreshableVersion="3" recordCount="50">
  <cacheSource type="worksheet">
    <worksheetSource name="Table1"/>
  </cacheSource>
  <cacheFields count="21">
    <cacheField name="Employee ID" numFmtId="0">
      <sharedItems containsSemiMixedTypes="0" containsString="0" containsNumber="1" containsInteger="1" minValue="1550" maxValue="9968"/>
    </cacheField>
    <cacheField name="Full Name" numFmtId="0">
      <sharedItems/>
    </cacheField>
    <cacheField name="Gender" numFmtId="0">
      <sharedItems count="2">
        <s v="Male"/>
        <s v="Fe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Punjab"/>
        <s v="Sindh"/>
        <s v="KPK"/>
        <s v="Balochistan"/>
        <s v="AJK"/>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14">
      <sharedItems containsSemiMixedTypes="0" containsNonDate="0" containsDate="1" containsString="0" minDate="2014-12-09T00:00:00" maxDate="2024-09-04T00:00:00"/>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ount="4">
        <s v="C"/>
        <s v="B"/>
        <s v="D"/>
        <s v="A"/>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
  <r>
    <n v="4294"/>
    <s v="Ali Raza"/>
    <x v="0"/>
    <n v="25"/>
    <x v="0"/>
    <x v="0"/>
    <x v="0"/>
    <x v="0"/>
    <s v="Imran Qureshi"/>
    <d v="2019-03-15T00:00:00"/>
    <x v="0"/>
    <x v="0"/>
    <n v="53700"/>
    <x v="0"/>
    <n v="1463"/>
    <s v="Health"/>
    <n v="1"/>
    <n v="4"/>
    <s v="Leadership Training"/>
    <x v="0"/>
    <s v="Certified Professional"/>
  </r>
  <r>
    <n v="9116"/>
    <s v="Ayesha Khan"/>
    <x v="1"/>
    <n v="27"/>
    <x v="1"/>
    <x v="0"/>
    <x v="1"/>
    <x v="1"/>
    <s v="Nadia Sheikh"/>
    <d v="2022-12-20T00:00:00"/>
    <x v="0"/>
    <x v="1"/>
    <n v="91091"/>
    <x v="1"/>
    <n v="1024"/>
    <s v="None"/>
    <n v="19"/>
    <n v="3"/>
    <s v="Excel Workshop"/>
    <x v="0"/>
    <s v="Certified Professional"/>
  </r>
  <r>
    <n v="5120"/>
    <s v="Hamza Ahmed"/>
    <x v="0"/>
    <n v="34"/>
    <x v="1"/>
    <x v="0"/>
    <x v="2"/>
    <x v="2"/>
    <s v="Kamran Malik"/>
    <d v="2022-08-10T00:00:00"/>
    <x v="0"/>
    <x v="2"/>
    <n v="57538"/>
    <x v="2"/>
    <n v="1674"/>
    <s v="None"/>
    <n v="8"/>
    <n v="5"/>
    <s v="None"/>
    <x v="1"/>
    <s v="Advanced Training"/>
  </r>
  <r>
    <n v="8071"/>
    <s v="Fatima Noor"/>
    <x v="1"/>
    <n v="41"/>
    <x v="2"/>
    <x v="0"/>
    <x v="0"/>
    <x v="3"/>
    <s v="Sara Mahmood"/>
    <d v="2024-09-03T00:00:00"/>
    <x v="1"/>
    <x v="0"/>
    <n v="62993"/>
    <x v="3"/>
    <n v="2695"/>
    <s v="Health + Dental"/>
    <n v="0"/>
    <n v="2"/>
    <s v="None"/>
    <x v="2"/>
    <s v="None"/>
  </r>
  <r>
    <n v="9351"/>
    <s v="Usman Tariq"/>
    <x v="0"/>
    <n v="56"/>
    <x v="3"/>
    <x v="0"/>
    <x v="0"/>
    <x v="2"/>
    <s v="Faisal Hussain"/>
    <d v="2019-03-14T00:00:00"/>
    <x v="1"/>
    <x v="1"/>
    <n v="45773"/>
    <x v="3"/>
    <n v="8776"/>
    <s v="Health"/>
    <n v="16"/>
    <n v="4"/>
    <s v="Leadership Training"/>
    <x v="2"/>
    <s v="None"/>
  </r>
  <r>
    <n v="2873"/>
    <s v="Sana Malik"/>
    <x v="1"/>
    <n v="28"/>
    <x v="1"/>
    <x v="0"/>
    <x v="3"/>
    <x v="2"/>
    <s v="Hina Farooq"/>
    <d v="2017-01-23T00:00:00"/>
    <x v="0"/>
    <x v="1"/>
    <n v="96249"/>
    <x v="0"/>
    <n v="4826"/>
    <s v="Health + Dental"/>
    <n v="7"/>
    <n v="3"/>
    <s v="Leadership Training"/>
    <x v="3"/>
    <s v="Certified Professional"/>
  </r>
  <r>
    <n v="3540"/>
    <s v="Bilal Hassan"/>
    <x v="0"/>
    <n v="20"/>
    <x v="0"/>
    <x v="0"/>
    <x v="2"/>
    <x v="2"/>
    <s v="Adnan Rauf"/>
    <d v="2024-08-17T00:00:00"/>
    <x v="0"/>
    <x v="2"/>
    <n v="61596"/>
    <x v="0"/>
    <n v="8818"/>
    <s v="Health + Dental"/>
    <n v="4"/>
    <n v="5"/>
    <s v="Leadership Training"/>
    <x v="1"/>
    <s v="None"/>
  </r>
  <r>
    <n v="3653"/>
    <s v="Hira Shah"/>
    <x v="1"/>
    <n v="58"/>
    <x v="3"/>
    <x v="0"/>
    <x v="1"/>
    <x v="4"/>
    <s v="Rabia Siddiqui"/>
    <d v="2014-12-09T00:00:00"/>
    <x v="0"/>
    <x v="2"/>
    <n v="97869"/>
    <x v="3"/>
    <n v="1966"/>
    <s v="Health"/>
    <n v="10"/>
    <n v="4"/>
    <s v="Leadership Training"/>
    <x v="0"/>
    <s v="Certified Professional"/>
  </r>
  <r>
    <n v="5587"/>
    <s v="Zainab Iqbal"/>
    <x v="1"/>
    <n v="44"/>
    <x v="2"/>
    <x v="1"/>
    <x v="2"/>
    <x v="2"/>
    <s v="Tariq Mehmood"/>
    <d v="2021-06-28T00:00:00"/>
    <x v="0"/>
    <x v="0"/>
    <n v="81235"/>
    <x v="3"/>
    <n v="6553"/>
    <s v="None"/>
    <n v="16"/>
    <n v="2"/>
    <s v="None"/>
    <x v="1"/>
    <s v="Certified Professional"/>
  </r>
  <r>
    <n v="9554"/>
    <s v="Ahmed Saeed"/>
    <x v="0"/>
    <n v="29"/>
    <x v="1"/>
    <x v="1"/>
    <x v="2"/>
    <x v="3"/>
    <s v="Amna Yousaf"/>
    <d v="2018-05-20T00:00:00"/>
    <x v="0"/>
    <x v="1"/>
    <n v="87852"/>
    <x v="3"/>
    <n v="4980"/>
    <s v="Health + Dental"/>
    <n v="19"/>
    <n v="3"/>
    <s v="None"/>
    <x v="2"/>
    <s v="Certified Professional"/>
  </r>
  <r>
    <n v="6213"/>
    <s v="Maryam Aslam"/>
    <x v="1"/>
    <n v="23"/>
    <x v="0"/>
    <x v="1"/>
    <x v="0"/>
    <x v="2"/>
    <s v="Noman Ali"/>
    <d v="2017-02-13T00:00:00"/>
    <x v="1"/>
    <x v="1"/>
    <n v="59359"/>
    <x v="3"/>
    <n v="9449"/>
    <s v="Health + Dental"/>
    <n v="20"/>
    <n v="4"/>
    <s v="None"/>
    <x v="1"/>
    <s v="None"/>
  </r>
  <r>
    <n v="9105"/>
    <s v="Fahad Ali"/>
    <x v="0"/>
    <n v="30"/>
    <x v="1"/>
    <x v="1"/>
    <x v="1"/>
    <x v="0"/>
    <s v="Shazia Khan"/>
    <d v="2024-05-05T00:00:00"/>
    <x v="1"/>
    <x v="2"/>
    <n v="81225"/>
    <x v="2"/>
    <n v="6202"/>
    <s v="Health + Dental"/>
    <n v="2"/>
    <n v="1"/>
    <s v="Excel Workshop"/>
    <x v="4"/>
    <s v="Certified Professional"/>
  </r>
  <r>
    <n v="9508"/>
    <s v="Rabia Javed"/>
    <x v="1"/>
    <n v="49"/>
    <x v="4"/>
    <x v="1"/>
    <x v="0"/>
    <x v="0"/>
    <s v="Khalid Nawaz"/>
    <d v="2022-04-19T00:00:00"/>
    <x v="1"/>
    <x v="0"/>
    <n v="32788"/>
    <x v="2"/>
    <n v="4396"/>
    <s v="Health"/>
    <n v="13"/>
    <n v="5"/>
    <s v="None"/>
    <x v="3"/>
    <s v="Advanced Training"/>
  </r>
  <r>
    <n v="2436"/>
    <s v="Maham Khan"/>
    <x v="1"/>
    <n v="60"/>
    <x v="3"/>
    <x v="1"/>
    <x v="0"/>
    <x v="3"/>
    <s v="Bushra Ahmed"/>
    <d v="2015-11-16T00:00:00"/>
    <x v="1"/>
    <x v="2"/>
    <n v="70452"/>
    <x v="2"/>
    <n v="9911"/>
    <s v="None"/>
    <n v="2"/>
    <n v="3"/>
    <s v="None"/>
    <x v="3"/>
    <s v="Certified Professional"/>
  </r>
  <r>
    <n v="4441"/>
    <s v="Imran Abbas"/>
    <x v="0"/>
    <n v="46"/>
    <x v="4"/>
    <x v="1"/>
    <x v="3"/>
    <x v="0"/>
    <s v="Sohail Raza"/>
    <d v="2023-09-09T00:00:00"/>
    <x v="0"/>
    <x v="1"/>
    <n v="33045"/>
    <x v="1"/>
    <n v="1456"/>
    <s v="None"/>
    <n v="16"/>
    <n v="4"/>
    <s v="Excel Workshop"/>
    <x v="3"/>
    <s v="None"/>
  </r>
  <r>
    <n v="5827"/>
    <s v="Hassan Khan"/>
    <x v="0"/>
    <n v="57"/>
    <x v="3"/>
    <x v="1"/>
    <x v="3"/>
    <x v="1"/>
    <s v="Mehwish Tariq"/>
    <d v="2017-12-12T00:00:00"/>
    <x v="2"/>
    <x v="2"/>
    <n v="96429"/>
    <x v="0"/>
    <n v="4740"/>
    <s v="None"/>
    <n v="8"/>
    <n v="2"/>
    <s v="Excel Workshop"/>
    <x v="2"/>
    <s v="None"/>
  </r>
  <r>
    <n v="5184"/>
    <s v="Anum Fatima"/>
    <x v="1"/>
    <n v="24"/>
    <x v="0"/>
    <x v="1"/>
    <x v="2"/>
    <x v="2"/>
    <s v="Arif Mahmood"/>
    <d v="2017-03-10T00:00:00"/>
    <x v="2"/>
    <x v="2"/>
    <n v="33183"/>
    <x v="3"/>
    <n v="8114"/>
    <s v="None"/>
    <n v="4"/>
    <n v="5"/>
    <s v="Excel Workshop"/>
    <x v="4"/>
    <s v="Advanced Training"/>
  </r>
  <r>
    <n v="5874"/>
    <s v="Saad Ahmed"/>
    <x v="0"/>
    <n v="35"/>
    <x v="1"/>
    <x v="1"/>
    <x v="3"/>
    <x v="0"/>
    <s v="Komal Iqbal"/>
    <d v="2019-03-04T00:00:00"/>
    <x v="2"/>
    <x v="0"/>
    <n v="75065"/>
    <x v="0"/>
    <n v="7123"/>
    <s v="None"/>
    <n v="20"/>
    <n v="4"/>
    <s v="None"/>
    <x v="0"/>
    <s v="Advanced Training"/>
  </r>
  <r>
    <n v="9834"/>
    <s v="Laiba Tariq"/>
    <x v="1"/>
    <n v="41"/>
    <x v="2"/>
    <x v="2"/>
    <x v="1"/>
    <x v="4"/>
    <s v="Junaid Khan"/>
    <d v="2022-11-20T00:00:00"/>
    <x v="0"/>
    <x v="2"/>
    <n v="32877"/>
    <x v="0"/>
    <n v="6432"/>
    <s v="Health"/>
    <n v="11"/>
    <n v="3"/>
    <s v="None"/>
    <x v="0"/>
    <s v="None"/>
  </r>
  <r>
    <n v="5096"/>
    <s v="Usman Farooq"/>
    <x v="0"/>
    <n v="36"/>
    <x v="2"/>
    <x v="2"/>
    <x v="4"/>
    <x v="3"/>
    <s v="Sanaullah Shah"/>
    <d v="2021-03-02T00:00:00"/>
    <x v="0"/>
    <x v="1"/>
    <n v="46811"/>
    <x v="2"/>
    <n v="1567"/>
    <s v="None"/>
    <n v="7"/>
    <n v="1"/>
    <s v="Excel Workshop"/>
    <x v="0"/>
    <s v="Advanced Training"/>
  </r>
  <r>
    <n v="2263"/>
    <s v="Iman Zahid"/>
    <x v="1"/>
    <n v="31"/>
    <x v="1"/>
    <x v="2"/>
    <x v="2"/>
    <x v="1"/>
    <s v="Farzana Yousaf"/>
    <d v="2021-08-01T00:00:00"/>
    <x v="1"/>
    <x v="1"/>
    <n v="87538"/>
    <x v="0"/>
    <n v="3588"/>
    <s v="Health + Dental"/>
    <n v="11"/>
    <n v="4"/>
    <s v="Excel Workshop"/>
    <x v="2"/>
    <s v="None"/>
  </r>
  <r>
    <n v="6505"/>
    <s v="Salman Raza"/>
    <x v="0"/>
    <n v="28"/>
    <x v="1"/>
    <x v="2"/>
    <x v="1"/>
    <x v="4"/>
    <s v="Asif Rahman"/>
    <d v="2015-08-14T00:00:00"/>
    <x v="0"/>
    <x v="1"/>
    <n v="73002"/>
    <x v="0"/>
    <n v="6296"/>
    <s v="Health"/>
    <n v="2"/>
    <n v="5"/>
    <s v="Excel Workshop"/>
    <x v="1"/>
    <s v="Certified Professional"/>
  </r>
  <r>
    <n v="8626"/>
    <s v="Noor Hassan"/>
    <x v="1"/>
    <n v="37"/>
    <x v="2"/>
    <x v="2"/>
    <x v="1"/>
    <x v="3"/>
    <s v="Samina Akhtar"/>
    <d v="2015-10-21T00:00:00"/>
    <x v="2"/>
    <x v="2"/>
    <n v="41653"/>
    <x v="2"/>
    <n v="9236"/>
    <s v="None"/>
    <n v="13"/>
    <n v="3"/>
    <s v="Excel Workshop"/>
    <x v="0"/>
    <s v="None"/>
  </r>
  <r>
    <n v="5979"/>
    <s v="Hamza Javed"/>
    <x v="0"/>
    <n v="31"/>
    <x v="1"/>
    <x v="2"/>
    <x v="0"/>
    <x v="2"/>
    <s v="Rashid Nawaz"/>
    <d v="2015-03-14T00:00:00"/>
    <x v="1"/>
    <x v="1"/>
    <n v="67582"/>
    <x v="3"/>
    <n v="1375"/>
    <s v="Health"/>
    <n v="20"/>
    <n v="2"/>
    <s v="Excel Workshop"/>
    <x v="1"/>
    <s v="None"/>
  </r>
  <r>
    <n v="3104"/>
    <s v="Areeba Malik"/>
    <x v="1"/>
    <n v="23"/>
    <x v="0"/>
    <x v="2"/>
    <x v="1"/>
    <x v="1"/>
    <s v="Lubna Faisal"/>
    <d v="2024-05-22T00:00:00"/>
    <x v="2"/>
    <x v="1"/>
    <n v="37351"/>
    <x v="2"/>
    <n v="7858"/>
    <s v="Health + Dental"/>
    <n v="18"/>
    <n v="4"/>
    <s v="Leadership Training"/>
    <x v="1"/>
    <s v="Advanced Training"/>
  </r>
  <r>
    <n v="8967"/>
    <s v="Shahzaib Ali"/>
    <x v="0"/>
    <n v="48"/>
    <x v="4"/>
    <x v="3"/>
    <x v="2"/>
    <x v="0"/>
    <s v="Waqas Ahmed"/>
    <d v="2017-03-19T00:00:00"/>
    <x v="0"/>
    <x v="1"/>
    <n v="36721"/>
    <x v="1"/>
    <n v="8820"/>
    <s v="Health + Dental"/>
    <n v="0"/>
    <n v="5"/>
    <s v="Excel Workshop"/>
    <x v="1"/>
    <s v="Certified Professional"/>
  </r>
  <r>
    <n v="5087"/>
    <s v="Komal Asif"/>
    <x v="1"/>
    <n v="28"/>
    <x v="1"/>
    <x v="3"/>
    <x v="4"/>
    <x v="0"/>
    <s v="Naila Raza"/>
    <d v="2021-09-15T00:00:00"/>
    <x v="1"/>
    <x v="2"/>
    <n v="46326"/>
    <x v="1"/>
    <n v="9189"/>
    <s v="Health + Dental"/>
    <n v="8"/>
    <n v="3"/>
    <s v="Leadership Training"/>
    <x v="3"/>
    <s v="Advanced Training"/>
  </r>
  <r>
    <n v="3358"/>
    <s v="Daniyal Khan"/>
    <x v="0"/>
    <n v="30"/>
    <x v="1"/>
    <x v="3"/>
    <x v="3"/>
    <x v="1"/>
    <s v="Haroon Siddiqui"/>
    <d v="2022-05-09T00:00:00"/>
    <x v="0"/>
    <x v="0"/>
    <n v="59007"/>
    <x v="0"/>
    <n v="3380"/>
    <s v="Health"/>
    <n v="17"/>
    <n v="4"/>
    <s v="None"/>
    <x v="4"/>
    <s v="Certified Professional"/>
  </r>
  <r>
    <n v="8256"/>
    <s v="Minal Shah"/>
    <x v="1"/>
    <n v="46"/>
    <x v="4"/>
    <x v="3"/>
    <x v="0"/>
    <x v="3"/>
    <s v="Saima Khalid"/>
    <d v="2017-06-22T00:00:00"/>
    <x v="0"/>
    <x v="1"/>
    <n v="52020"/>
    <x v="1"/>
    <n v="9585"/>
    <s v="Health + Dental"/>
    <n v="0"/>
    <n v="2"/>
    <s v="Excel Workshop"/>
    <x v="4"/>
    <s v="None"/>
  </r>
  <r>
    <n v="5763"/>
    <s v="Asad Mahmood"/>
    <x v="0"/>
    <n v="44"/>
    <x v="2"/>
    <x v="3"/>
    <x v="2"/>
    <x v="1"/>
    <s v="Yasir Abbas"/>
    <d v="2020-11-28T00:00:00"/>
    <x v="2"/>
    <x v="1"/>
    <n v="98961"/>
    <x v="2"/>
    <n v="2688"/>
    <s v="Health"/>
    <n v="2"/>
    <n v="5"/>
    <s v="Excel Workshop"/>
    <x v="4"/>
    <s v="Certified Professional"/>
  </r>
  <r>
    <n v="6838"/>
    <s v="Waleed Ahmed"/>
    <x v="0"/>
    <n v="45"/>
    <x v="2"/>
    <x v="3"/>
    <x v="3"/>
    <x v="2"/>
    <s v="Fariha Noor"/>
    <d v="2015-08-30T00:00:00"/>
    <x v="2"/>
    <x v="1"/>
    <n v="81943"/>
    <x v="0"/>
    <n v="2255"/>
    <s v="Health"/>
    <n v="18"/>
    <n v="4"/>
    <s v="None"/>
    <x v="2"/>
    <s v="Certified Professional"/>
  </r>
  <r>
    <n v="9544"/>
    <s v="Iqra Nadeem"/>
    <x v="1"/>
    <n v="52"/>
    <x v="4"/>
    <x v="3"/>
    <x v="2"/>
    <x v="1"/>
    <s v="Shahid Hussain"/>
    <d v="2018-10-27T00:00:00"/>
    <x v="2"/>
    <x v="1"/>
    <n v="47627"/>
    <x v="0"/>
    <n v="1221"/>
    <s v="None"/>
    <n v="4"/>
    <n v="3"/>
    <s v="None"/>
    <x v="1"/>
    <s v="None"/>
  </r>
  <r>
    <n v="8012"/>
    <s v="Arslan Raza"/>
    <x v="0"/>
    <n v="52"/>
    <x v="4"/>
    <x v="3"/>
    <x v="0"/>
    <x v="4"/>
    <s v="Amina Tariq"/>
    <d v="2018-08-26T00:00:00"/>
    <x v="2"/>
    <x v="1"/>
    <n v="56162"/>
    <x v="2"/>
    <n v="6560"/>
    <s v="Health + Dental"/>
    <n v="9"/>
    <n v="5"/>
    <s v="Excel Workshop"/>
    <x v="3"/>
    <s v="None"/>
  </r>
  <r>
    <n v="9374"/>
    <s v="Alina Shah"/>
    <x v="1"/>
    <n v="42"/>
    <x v="2"/>
    <x v="3"/>
    <x v="2"/>
    <x v="2"/>
    <s v="Naveed Iqbal"/>
    <d v="2023-07-24T00:00:00"/>
    <x v="1"/>
    <x v="2"/>
    <n v="95734"/>
    <x v="0"/>
    <n v="4854"/>
    <s v="Health"/>
    <n v="13"/>
    <n v="2"/>
    <s v="Leadership Training"/>
    <x v="0"/>
    <s v="Certified Professional"/>
  </r>
  <r>
    <n v="3487"/>
    <s v="Zubair Hassan"/>
    <x v="0"/>
    <n v="58"/>
    <x v="3"/>
    <x v="3"/>
    <x v="1"/>
    <x v="3"/>
    <s v="Sehrish Malik"/>
    <d v="2018-07-09T00:00:00"/>
    <x v="1"/>
    <x v="2"/>
    <n v="74789"/>
    <x v="0"/>
    <n v="8101"/>
    <s v="Health + Dental"/>
    <n v="14"/>
    <n v="4"/>
    <s v="Excel Workshop"/>
    <x v="2"/>
    <s v="None"/>
  </r>
  <r>
    <n v="8445"/>
    <s v="Eman Fatima"/>
    <x v="1"/>
    <n v="24"/>
    <x v="0"/>
    <x v="3"/>
    <x v="0"/>
    <x v="3"/>
    <s v="Asadullah Khan"/>
    <d v="2016-12-21T00:00:00"/>
    <x v="0"/>
    <x v="2"/>
    <n v="30137"/>
    <x v="1"/>
    <n v="4031"/>
    <s v="None"/>
    <n v="5"/>
    <n v="3"/>
    <s v="None"/>
    <x v="1"/>
    <s v="Certified Professional"/>
  </r>
  <r>
    <n v="1550"/>
    <s v="Talha Khan"/>
    <x v="0"/>
    <n v="21"/>
    <x v="0"/>
    <x v="3"/>
    <x v="0"/>
    <x v="0"/>
    <s v="Kiran Javed"/>
    <d v="2019-06-27T00:00:00"/>
    <x v="0"/>
    <x v="2"/>
    <n v="95510"/>
    <x v="0"/>
    <n v="6811"/>
    <s v="Health"/>
    <n v="18"/>
    <n v="5"/>
    <s v="Excel Workshop"/>
    <x v="4"/>
    <s v="Certified Professional"/>
  </r>
  <r>
    <n v="9968"/>
    <s v="Madiha Ali"/>
    <x v="1"/>
    <n v="58"/>
    <x v="3"/>
    <x v="4"/>
    <x v="3"/>
    <x v="0"/>
    <s v="Waqar Hussain"/>
    <d v="2021-08-27T00:00:00"/>
    <x v="1"/>
    <x v="0"/>
    <n v="80325"/>
    <x v="1"/>
    <n v="6230"/>
    <s v="Health"/>
    <n v="5"/>
    <n v="4"/>
    <s v="None"/>
    <x v="2"/>
    <s v="Advanced Training"/>
  </r>
  <r>
    <n v="8029"/>
    <s v="Haris Javed"/>
    <x v="0"/>
    <n v="57"/>
    <x v="3"/>
    <x v="4"/>
    <x v="4"/>
    <x v="4"/>
    <s v="Sana Ahmed"/>
    <d v="2017-05-28T00:00:00"/>
    <x v="2"/>
    <x v="1"/>
    <n v="34109"/>
    <x v="1"/>
    <n v="9232"/>
    <s v="Health"/>
    <n v="13"/>
    <n v="2"/>
    <s v="Leadership Training"/>
    <x v="0"/>
    <s v="Certified Professional"/>
  </r>
  <r>
    <n v="8847"/>
    <s v="Sidra Noor"/>
    <x v="1"/>
    <n v="41"/>
    <x v="2"/>
    <x v="4"/>
    <x v="3"/>
    <x v="0"/>
    <s v="Omer Farooq"/>
    <d v="2022-01-30T00:00:00"/>
    <x v="2"/>
    <x v="2"/>
    <n v="73330"/>
    <x v="0"/>
    <n v="2276"/>
    <s v="Health + Dental"/>
    <n v="5"/>
    <n v="3"/>
    <s v="None"/>
    <x v="1"/>
    <s v="Advanced Training"/>
  </r>
  <r>
    <n v="1955"/>
    <s v="Saif Ullah"/>
    <x v="0"/>
    <n v="58"/>
    <x v="3"/>
    <x v="4"/>
    <x v="2"/>
    <x v="1"/>
    <s v="Rida Aslam"/>
    <d v="2017-04-20T00:00:00"/>
    <x v="1"/>
    <x v="2"/>
    <n v="46567"/>
    <x v="3"/>
    <n v="2825"/>
    <s v="Health"/>
    <n v="15"/>
    <n v="4"/>
    <s v="None"/>
    <x v="4"/>
    <s v="Advanced Training"/>
  </r>
  <r>
    <n v="4522"/>
    <s v="Anaya Malik"/>
    <x v="1"/>
    <n v="36"/>
    <x v="2"/>
    <x v="4"/>
    <x v="4"/>
    <x v="0"/>
    <s v="Bilal Nawaz"/>
    <d v="2019-07-22T00:00:00"/>
    <x v="1"/>
    <x v="1"/>
    <n v="39795"/>
    <x v="3"/>
    <n v="1670"/>
    <s v="None"/>
    <n v="0"/>
    <n v="5"/>
    <s v="Excel Workshop"/>
    <x v="3"/>
    <s v="None"/>
  </r>
  <r>
    <n v="3078"/>
    <s v="Rizwan Ahmed"/>
    <x v="0"/>
    <n v="21"/>
    <x v="0"/>
    <x v="4"/>
    <x v="0"/>
    <x v="4"/>
    <s v="Marium Hassan"/>
    <d v="2018-11-29T00:00:00"/>
    <x v="1"/>
    <x v="2"/>
    <n v="59506"/>
    <x v="3"/>
    <n v="4428"/>
    <s v="Health + Dental"/>
    <n v="0"/>
    <n v="3"/>
    <s v="None"/>
    <x v="3"/>
    <s v="Certified Professional"/>
  </r>
  <r>
    <n v="6357"/>
    <s v="Mehwish Aslam"/>
    <x v="1"/>
    <n v="46"/>
    <x v="4"/>
    <x v="4"/>
    <x v="1"/>
    <x v="4"/>
    <s v="Danish Mahmood"/>
    <d v="2022-11-14T00:00:00"/>
    <x v="1"/>
    <x v="2"/>
    <n v="49058"/>
    <x v="1"/>
    <n v="4396"/>
    <s v="None"/>
    <n v="5"/>
    <n v="4"/>
    <s v="None"/>
    <x v="3"/>
    <s v="None"/>
  </r>
  <r>
    <n v="7951"/>
    <s v="Kashif Raza"/>
    <x v="0"/>
    <n v="36"/>
    <x v="2"/>
    <x v="4"/>
    <x v="2"/>
    <x v="4"/>
    <s v="Arooba Sheikh"/>
    <d v="2016-02-23T00:00:00"/>
    <x v="1"/>
    <x v="0"/>
    <n v="98612"/>
    <x v="3"/>
    <n v="1168"/>
    <s v="None"/>
    <n v="9"/>
    <n v="2"/>
    <s v="Excel Workshop"/>
    <x v="0"/>
    <s v="Certified Professional"/>
  </r>
  <r>
    <n v="9228"/>
    <s v="Danish Iqbal"/>
    <x v="0"/>
    <n v="41"/>
    <x v="2"/>
    <x v="4"/>
    <x v="3"/>
    <x v="1"/>
    <s v="Hamid Rauf"/>
    <d v="2018-05-18T00:00:00"/>
    <x v="2"/>
    <x v="1"/>
    <n v="38201"/>
    <x v="3"/>
    <n v="7111"/>
    <s v="Health"/>
    <n v="8"/>
    <n v="5"/>
    <s v="Leadership Training"/>
    <x v="3"/>
    <s v="None"/>
  </r>
  <r>
    <n v="8988"/>
    <s v="Saba Khan"/>
    <x v="1"/>
    <n v="25"/>
    <x v="0"/>
    <x v="4"/>
    <x v="2"/>
    <x v="2"/>
    <s v="Tehreem Abbas"/>
    <d v="2024-03-09T00:00:00"/>
    <x v="2"/>
    <x v="1"/>
    <n v="92919"/>
    <x v="2"/>
    <n v="9497"/>
    <s v="Health"/>
    <n v="7"/>
    <n v="3"/>
    <s v="None"/>
    <x v="3"/>
    <s v="Advanced Training"/>
  </r>
  <r>
    <n v="1952"/>
    <s v="Naveed Ahmed"/>
    <x v="0"/>
    <n v="29"/>
    <x v="1"/>
    <x v="4"/>
    <x v="0"/>
    <x v="1"/>
    <s v="Sohail Mahmood"/>
    <d v="2024-03-27T00:00:00"/>
    <x v="0"/>
    <x v="2"/>
    <n v="45188"/>
    <x v="3"/>
    <n v="9591"/>
    <s v="Health + Dental"/>
    <n v="18"/>
    <n v="4"/>
    <s v="Leadership Training"/>
    <x v="3"/>
    <s v="None"/>
  </r>
  <r>
    <n v="5760"/>
    <s v="Aiman Raza"/>
    <x v="1"/>
    <n v="59"/>
    <x v="3"/>
    <x v="4"/>
    <x v="1"/>
    <x v="0"/>
    <s v="Anwar Hussain"/>
    <d v="2019-12-23T00:00:00"/>
    <x v="0"/>
    <x v="1"/>
    <n v="34927"/>
    <x v="2"/>
    <n v="6996"/>
    <s v="Health + Dental"/>
    <n v="16"/>
    <n v="5"/>
    <s v="Excel Workshop"/>
    <x v="0"/>
    <s v="Certified Professional"/>
  </r>
  <r>
    <n v="5742"/>
    <s v="Saira Javed"/>
    <x v="1"/>
    <n v="27"/>
    <x v="1"/>
    <x v="4"/>
    <x v="2"/>
    <x v="3"/>
    <s v="Yasmeen Akhtar"/>
    <d v="2016-08-25T00:00:00"/>
    <x v="0"/>
    <x v="1"/>
    <n v="33183"/>
    <x v="3"/>
    <n v="1659"/>
    <s v="None"/>
    <n v="11"/>
    <n v="2"/>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employment status"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4:C8" firstHeaderRow="1" firstDataRow="1" firstDataCol="1"/>
  <pivotFields count="21">
    <pivotField showAll="0"/>
    <pivotField dataField="1" showAll="0"/>
    <pivotField showAll="0">
      <items count="3">
        <item x="1"/>
        <item x="0"/>
        <item t="default"/>
      </items>
    </pivotField>
    <pivotField showAll="0"/>
    <pivotField showAll="0"/>
    <pivotField showAll="0"/>
    <pivotField showAll="0"/>
    <pivotField showAll="0">
      <items count="6">
        <item x="0"/>
        <item x="1"/>
        <item x="4"/>
        <item x="2"/>
        <item x="3"/>
        <item t="default"/>
      </items>
    </pivotField>
    <pivotField showAll="0"/>
    <pivotField numFmtId="14"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regions"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U4:V10" firstHeaderRow="1" firstDataRow="1" firstDataCol="1"/>
  <pivotFields count="21">
    <pivotField showAll="0"/>
    <pivotField dataField="1" showAll="0"/>
    <pivotField showAll="0">
      <items count="3">
        <item x="1"/>
        <item x="0"/>
        <item t="default"/>
      </items>
    </pivotField>
    <pivotField showAll="0"/>
    <pivotField showAll="0"/>
    <pivotField axis="axisRow" showAll="0">
      <items count="6">
        <item x="4"/>
        <item x="3"/>
        <item x="2"/>
        <item x="0"/>
        <item x="1"/>
        <item t="default"/>
      </items>
    </pivotField>
    <pivotField showAll="0"/>
    <pivotField showAll="0">
      <items count="6">
        <item x="0"/>
        <item x="1"/>
        <item x="4"/>
        <item x="2"/>
        <item x="3"/>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Full Name"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skills"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R4:S10" firstHeaderRow="1" firstDataRow="1" firstDataCol="1"/>
  <pivotFields count="21">
    <pivotField showAll="0"/>
    <pivotField dataField="1" showAll="0"/>
    <pivotField showAll="0">
      <items count="3">
        <item x="1"/>
        <item x="0"/>
        <item t="default"/>
      </items>
    </pivotField>
    <pivotField showAll="0"/>
    <pivotField showAll="0"/>
    <pivotField showAll="0"/>
    <pivotField showAll="0"/>
    <pivotField showAll="0">
      <items count="6">
        <item x="0"/>
        <item x="1"/>
        <item x="4"/>
        <item x="2"/>
        <item x="3"/>
        <item t="default"/>
      </items>
    </pivotField>
    <pivotField showAll="0"/>
    <pivotField numFmtId="14" showAll="0"/>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Departments"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X4:Y10" firstHeaderRow="1" firstDataRow="1" firstDataCol="1"/>
  <pivotFields count="21">
    <pivotField showAll="0"/>
    <pivotField showAll="0"/>
    <pivotField showAll="0">
      <items count="3">
        <item x="1"/>
        <item x="0"/>
        <item t="default"/>
      </items>
    </pivotField>
    <pivotField showAll="0"/>
    <pivotField showAll="0"/>
    <pivotField showAll="0"/>
    <pivotField showAll="0"/>
    <pivotField axis="axisRow" showAll="0">
      <items count="6">
        <item x="0"/>
        <item x="1"/>
        <item x="4"/>
        <item x="2"/>
        <item x="3"/>
        <item t="default"/>
      </items>
    </pivotField>
    <pivotField showAll="0"/>
    <pivotField numFmtId="14"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6">
    <i>
      <x/>
    </i>
    <i>
      <x v="1"/>
    </i>
    <i>
      <x v="2"/>
    </i>
    <i>
      <x v="3"/>
    </i>
    <i>
      <x v="4"/>
    </i>
    <i t="grand">
      <x/>
    </i>
  </rowItems>
  <colItems count="1">
    <i/>
  </colItems>
  <dataFields count="1">
    <dataField name="Average of Performance Rating" fld="17" subtotal="average" baseField="7" baseItem="0"/>
  </dataFields>
  <formats count="2">
    <format dxfId="1">
      <pivotArea collapsedLevelsAreSubtotals="1" fieldPosition="0">
        <references count="1">
          <reference field="7" count="1">
            <x v="4"/>
          </reference>
        </references>
      </pivotArea>
    </format>
    <format dxfId="0">
      <pivotArea collapsedLevelsAreSubtotals="1" fieldPosition="0">
        <references count="1">
          <reference field="7"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Workplace"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O4:P8" firstHeaderRow="1" firstDataRow="1" firstDataCol="1"/>
  <pivotFields count="21">
    <pivotField showAll="0"/>
    <pivotField dataField="1" showAll="0"/>
    <pivotField showAll="0">
      <items count="3">
        <item x="1"/>
        <item x="0"/>
        <item t="default"/>
      </items>
    </pivotField>
    <pivotField showAll="0"/>
    <pivotField showAll="0"/>
    <pivotField showAll="0"/>
    <pivotField showAll="0"/>
    <pivotField showAll="0">
      <items count="6">
        <item x="0"/>
        <item x="1"/>
        <item x="4"/>
        <item x="2"/>
        <item x="3"/>
        <item t="default"/>
      </items>
    </pivotField>
    <pivotField showAll="0"/>
    <pivotField numFmtId="14"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salaries"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F4:H10" firstHeaderRow="0" firstDataRow="1" firstDataCol="1"/>
  <pivotFields count="21">
    <pivotField showAll="0"/>
    <pivotField showAll="0"/>
    <pivotField showAll="0">
      <items count="3">
        <item x="1"/>
        <item x="0"/>
        <item t="default"/>
      </items>
    </pivotField>
    <pivotField showAll="0"/>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numFmtId="14" showAll="0"/>
    <pivotField showAll="0"/>
    <pivotField showAll="0"/>
    <pivotField dataField="1"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dataField name="Sum of Leave Taken" fld="16" baseField="0" baseItem="0"/>
  </dataFields>
  <formats count="1">
    <format dxfId="2">
      <pivotArea collapsedLevelsAreSubtotals="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Age Range"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J4:M11" firstHeaderRow="1" firstDataRow="2" firstDataCol="1"/>
  <pivotFields count="21">
    <pivotField showAll="0"/>
    <pivotField dataField="1" showAll="0"/>
    <pivotField axis="axisCol" showAll="0">
      <items count="3">
        <item x="1"/>
        <item x="0"/>
        <item t="default"/>
      </items>
    </pivotField>
    <pivotField showAll="0"/>
    <pivotField axis="axisRow" showAll="0">
      <items count="6">
        <item x="0"/>
        <item x="1"/>
        <item x="2"/>
        <item x="4"/>
        <item x="3"/>
        <item t="default"/>
      </items>
    </pivotField>
    <pivotField showAll="0"/>
    <pivotField showAll="0"/>
    <pivotField showAll="0">
      <items count="6">
        <item x="0"/>
        <item x="1"/>
        <item x="4"/>
        <item x="2"/>
        <item x="3"/>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chartFormats count="6">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3" format="2" series="1">
      <pivotArea type="data" outline="0" fieldPosition="0">
        <references count="2">
          <reference field="4294967294" count="1" selected="0">
            <x v="0"/>
          </reference>
          <reference field="2" count="1" selected="0">
            <x v="0"/>
          </reference>
        </references>
      </pivotArea>
    </chartFormat>
    <chartFormat chart="3" format="3" series="1">
      <pivotArea type="data" outline="0" fieldPosition="0">
        <references count="2">
          <reference field="4294967294" count="1" selected="0">
            <x v="0"/>
          </reference>
          <reference field="2" count="1" selected="0">
            <x v="1"/>
          </reference>
        </references>
      </pivotArea>
    </chartFormat>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salaries"/>
    <pivotTable tabId="3" name="Departments"/>
    <pivotTable tabId="3" name="employment status"/>
    <pivotTable tabId="3" name="regions"/>
    <pivotTable tabId="3" name="skills"/>
    <pivotTable tabId="3" name="Workplace"/>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3" name="salaries"/>
    <pivotTable tabId="3" name="Age Range"/>
    <pivotTable tabId="3" name="Departments"/>
    <pivotTable tabId="3" name="employment status"/>
    <pivotTable tabId="3" name="regions"/>
    <pivotTable tabId="3" name="skills"/>
    <pivotTable tabId="3" name="Workplace"/>
  </pivotTables>
  <data>
    <tabular pivotCacheId="1">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columnCount="2" style="Slicer Style 1" rowHeight="241300"/>
  <slicer name="Department" cache="Slicer_Department" caption="Department" columnCount="3" style="Slicer Style 1" rowHeight="241300"/>
</slicers>
</file>

<file path=xl/tables/table1.xml><?xml version="1.0" encoding="utf-8"?>
<table xmlns="http://schemas.openxmlformats.org/spreadsheetml/2006/main" id="1" name="Table1" displayName="Table1" ref="A1:U51" totalsRowShown="0" headerRowDxfId="25" dataDxfId="24">
  <autoFilter ref="A1:U51"/>
  <tableColumns count="21">
    <tableColumn id="1" name="Employee ID" dataDxfId="23"/>
    <tableColumn id="2" name="Full Name" dataDxfId="22"/>
    <tableColumn id="3" name="Gender" dataDxfId="21"/>
    <tableColumn id="4" name="Age" dataDxfId="20"/>
    <tableColumn id="5" name="Age range" dataDxfId="19"/>
    <tableColumn id="6" name="Region" dataDxfId="18"/>
    <tableColumn id="7" name="Job Title" dataDxfId="17"/>
    <tableColumn id="8" name="Department" dataDxfId="16"/>
    <tableColumn id="9" name="Manager/Supervisor" dataDxfId="15"/>
    <tableColumn id="10" name="Date of Hire" dataDxfId="14"/>
    <tableColumn id="11" name="Employment Status" dataDxfId="13"/>
    <tableColumn id="12" name="Work Location" dataDxfId="12"/>
    <tableColumn id="13" name="Salary" dataDxfId="11"/>
    <tableColumn id="14" name="Pay Grade" dataDxfId="10"/>
    <tableColumn id="15" name="Bonus/Allowances" dataDxfId="9"/>
    <tableColumn id="16" name="Insurance Details" dataDxfId="8"/>
    <tableColumn id="17" name="Leave Taken" dataDxfId="7"/>
    <tableColumn id="18" name="Performance Rating" dataDxfId="6"/>
    <tableColumn id="19" name="Training Programs Attended" dataDxfId="5"/>
    <tableColumn id="20" name="Skills" dataDxfId="4"/>
    <tableColumn id="21" name="Certifications" dataDxfId="3"/>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9:S14"/>
  <sheetViews>
    <sheetView showGridLines="0" zoomScale="70" zoomScaleNormal="70" workbookViewId="0">
      <selection activeCell="V17" sqref="V17"/>
    </sheetView>
  </sheetViews>
  <sheetFormatPr defaultRowHeight="14.5"/>
  <cols>
    <col min="1" max="16384" width="8.7265625" style="9"/>
  </cols>
  <sheetData>
    <row r="9" spans="2:19" ht="16.5">
      <c r="B9" s="8"/>
      <c r="S9" s="23"/>
    </row>
    <row r="10" spans="2:19">
      <c r="F10" s="8"/>
    </row>
    <row r="14" spans="2:19">
      <c r="S14" s="2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1"/>
  <sheetViews>
    <sheetView tabSelected="1" topLeftCell="D1" zoomScale="55" zoomScaleNormal="55" workbookViewId="0">
      <selection activeCell="J19" sqref="J19"/>
    </sheetView>
  </sheetViews>
  <sheetFormatPr defaultRowHeight="14.5"/>
  <cols>
    <col min="1" max="1" width="28.1796875" customWidth="1"/>
    <col min="2" max="2" width="30.7265625" customWidth="1"/>
    <col min="3" max="3" width="26.7265625" customWidth="1"/>
    <col min="4" max="4" width="18.6328125" customWidth="1"/>
    <col min="5" max="5" width="25.08984375" customWidth="1"/>
    <col min="6" max="6" width="20.7265625" customWidth="1"/>
    <col min="7" max="7" width="25.08984375" style="1" customWidth="1"/>
    <col min="8" max="8" width="24.08984375" customWidth="1"/>
    <col min="9" max="9" width="33.54296875" customWidth="1"/>
    <col min="10" max="10" width="26.6328125" style="1" customWidth="1"/>
    <col min="11" max="11" width="34.54296875" customWidth="1"/>
    <col min="12" max="12" width="29.08984375" customWidth="1"/>
    <col min="13" max="13" width="15.453125" customWidth="1"/>
    <col min="14" max="14" width="23.7265625" customWidth="1"/>
    <col min="15" max="15" width="32.36328125" customWidth="1"/>
    <col min="16" max="16" width="32.7265625" customWidth="1"/>
    <col min="17" max="17" width="21.81640625" customWidth="1"/>
    <col min="18" max="18" width="28.453125" customWidth="1"/>
    <col min="19" max="19" width="32.1796875" customWidth="1"/>
    <col min="20" max="20" width="22.90625" customWidth="1"/>
    <col min="21" max="21" width="41.36328125" customWidth="1"/>
  </cols>
  <sheetData>
    <row r="1" spans="1:21" s="7" customFormat="1" ht="39" customHeight="1">
      <c r="A1" s="6" t="s">
        <v>97</v>
      </c>
      <c r="B1" s="6" t="s">
        <v>98</v>
      </c>
      <c r="C1" s="6" t="s">
        <v>99</v>
      </c>
      <c r="D1" s="6" t="s">
        <v>100</v>
      </c>
      <c r="E1" s="6" t="s">
        <v>101</v>
      </c>
      <c r="F1" s="6" t="s">
        <v>102</v>
      </c>
      <c r="G1" s="6" t="s">
        <v>0</v>
      </c>
      <c r="H1" s="6" t="s">
        <v>1</v>
      </c>
      <c r="I1" s="6" t="s">
        <v>2</v>
      </c>
      <c r="J1" s="6" t="s">
        <v>3</v>
      </c>
      <c r="K1" s="6" t="s">
        <v>4</v>
      </c>
      <c r="L1" s="6" t="s">
        <v>5</v>
      </c>
      <c r="M1" s="6" t="s">
        <v>6</v>
      </c>
      <c r="N1" s="6" t="s">
        <v>7</v>
      </c>
      <c r="O1" s="6" t="s">
        <v>8</v>
      </c>
      <c r="P1" s="6" t="s">
        <v>9</v>
      </c>
      <c r="Q1" s="6" t="s">
        <v>10</v>
      </c>
      <c r="R1" s="6" t="s">
        <v>11</v>
      </c>
      <c r="S1" s="6" t="s">
        <v>12</v>
      </c>
      <c r="T1" s="6" t="s">
        <v>13</v>
      </c>
      <c r="U1" s="6" t="s">
        <v>14</v>
      </c>
    </row>
    <row r="2" spans="1:21" ht="21">
      <c r="A2" s="2">
        <v>4294</v>
      </c>
      <c r="B2" s="2" t="s">
        <v>103</v>
      </c>
      <c r="C2" s="2" t="s">
        <v>104</v>
      </c>
      <c r="D2" s="4">
        <v>25</v>
      </c>
      <c r="E2" s="2" t="s">
        <v>105</v>
      </c>
      <c r="F2" s="2" t="s">
        <v>106</v>
      </c>
      <c r="G2" s="2" t="s">
        <v>15</v>
      </c>
      <c r="H2" s="2" t="s">
        <v>16</v>
      </c>
      <c r="I2" s="2" t="s">
        <v>17</v>
      </c>
      <c r="J2" s="5">
        <v>43539</v>
      </c>
      <c r="K2" s="2" t="s">
        <v>18</v>
      </c>
      <c r="L2" s="3" t="s">
        <v>19</v>
      </c>
      <c r="M2" s="2">
        <v>53700</v>
      </c>
      <c r="N2" s="2" t="s">
        <v>20</v>
      </c>
      <c r="O2" s="2">
        <v>1463</v>
      </c>
      <c r="P2" s="2" t="s">
        <v>21</v>
      </c>
      <c r="Q2" s="2">
        <v>1</v>
      </c>
      <c r="R2" s="2">
        <v>4</v>
      </c>
      <c r="S2" s="2" t="s">
        <v>22</v>
      </c>
      <c r="T2" s="2" t="s">
        <v>23</v>
      </c>
      <c r="U2" s="2" t="s">
        <v>24</v>
      </c>
    </row>
    <row r="3" spans="1:21" ht="21">
      <c r="A3" s="2">
        <v>9116</v>
      </c>
      <c r="B3" s="2" t="s">
        <v>107</v>
      </c>
      <c r="C3" s="2" t="s">
        <v>108</v>
      </c>
      <c r="D3" s="4">
        <v>27</v>
      </c>
      <c r="E3" s="2" t="s">
        <v>109</v>
      </c>
      <c r="F3" s="2" t="s">
        <v>106</v>
      </c>
      <c r="G3" s="2" t="s">
        <v>25</v>
      </c>
      <c r="H3" s="2" t="s">
        <v>26</v>
      </c>
      <c r="I3" s="2" t="s">
        <v>27</v>
      </c>
      <c r="J3" s="5">
        <v>44915</v>
      </c>
      <c r="K3" s="2" t="s">
        <v>18</v>
      </c>
      <c r="L3" s="3" t="s">
        <v>28</v>
      </c>
      <c r="M3" s="2">
        <v>91091</v>
      </c>
      <c r="N3" s="2" t="s">
        <v>29</v>
      </c>
      <c r="O3" s="2">
        <v>1024</v>
      </c>
      <c r="P3" s="2" t="s">
        <v>30</v>
      </c>
      <c r="Q3" s="2">
        <v>19</v>
      </c>
      <c r="R3" s="2">
        <v>3</v>
      </c>
      <c r="S3" s="2" t="s">
        <v>31</v>
      </c>
      <c r="T3" s="2" t="s">
        <v>23</v>
      </c>
      <c r="U3" s="2" t="s">
        <v>24</v>
      </c>
    </row>
    <row r="4" spans="1:21" ht="21">
      <c r="A4" s="2">
        <v>5120</v>
      </c>
      <c r="B4" s="2" t="s">
        <v>110</v>
      </c>
      <c r="C4" s="2" t="s">
        <v>104</v>
      </c>
      <c r="D4" s="4">
        <v>34</v>
      </c>
      <c r="E4" s="2" t="s">
        <v>109</v>
      </c>
      <c r="F4" s="2" t="s">
        <v>106</v>
      </c>
      <c r="G4" s="2" t="s">
        <v>32</v>
      </c>
      <c r="H4" s="2" t="s">
        <v>33</v>
      </c>
      <c r="I4" s="2" t="s">
        <v>34</v>
      </c>
      <c r="J4" s="5">
        <v>44783</v>
      </c>
      <c r="K4" s="2" t="s">
        <v>18</v>
      </c>
      <c r="L4" s="3" t="s">
        <v>35</v>
      </c>
      <c r="M4" s="2">
        <v>57538</v>
      </c>
      <c r="N4" s="2" t="s">
        <v>36</v>
      </c>
      <c r="O4" s="2">
        <v>1674</v>
      </c>
      <c r="P4" s="2" t="s">
        <v>30</v>
      </c>
      <c r="Q4" s="2">
        <v>8</v>
      </c>
      <c r="R4" s="2">
        <v>5</v>
      </c>
      <c r="S4" s="2" t="s">
        <v>30</v>
      </c>
      <c r="T4" s="2" t="s">
        <v>37</v>
      </c>
      <c r="U4" s="2" t="s">
        <v>38</v>
      </c>
    </row>
    <row r="5" spans="1:21" ht="21">
      <c r="A5" s="2">
        <v>8071</v>
      </c>
      <c r="B5" s="2" t="s">
        <v>111</v>
      </c>
      <c r="C5" s="2" t="s">
        <v>108</v>
      </c>
      <c r="D5" s="4">
        <v>41</v>
      </c>
      <c r="E5" s="2" t="s">
        <v>112</v>
      </c>
      <c r="F5" s="2" t="s">
        <v>106</v>
      </c>
      <c r="G5" s="2" t="s">
        <v>15</v>
      </c>
      <c r="H5" s="2" t="s">
        <v>39</v>
      </c>
      <c r="I5" s="2" t="s">
        <v>40</v>
      </c>
      <c r="J5" s="5">
        <v>45538</v>
      </c>
      <c r="K5" s="2" t="s">
        <v>41</v>
      </c>
      <c r="L5" s="3" t="s">
        <v>19</v>
      </c>
      <c r="M5" s="2">
        <v>62993</v>
      </c>
      <c r="N5" s="2" t="s">
        <v>42</v>
      </c>
      <c r="O5" s="2">
        <v>2695</v>
      </c>
      <c r="P5" s="2" t="s">
        <v>43</v>
      </c>
      <c r="Q5" s="2">
        <v>0</v>
      </c>
      <c r="R5" s="2">
        <v>2</v>
      </c>
      <c r="S5" s="2" t="s">
        <v>30</v>
      </c>
      <c r="T5" s="2" t="s">
        <v>44</v>
      </c>
      <c r="U5" s="2" t="s">
        <v>30</v>
      </c>
    </row>
    <row r="6" spans="1:21" ht="21">
      <c r="A6" s="2">
        <v>9351</v>
      </c>
      <c r="B6" s="2" t="s">
        <v>113</v>
      </c>
      <c r="C6" s="2" t="s">
        <v>104</v>
      </c>
      <c r="D6" s="4">
        <v>56</v>
      </c>
      <c r="E6" s="2" t="s">
        <v>114</v>
      </c>
      <c r="F6" s="2" t="s">
        <v>106</v>
      </c>
      <c r="G6" s="2" t="s">
        <v>15</v>
      </c>
      <c r="H6" s="2" t="s">
        <v>33</v>
      </c>
      <c r="I6" s="2" t="s">
        <v>45</v>
      </c>
      <c r="J6" s="5">
        <v>43538</v>
      </c>
      <c r="K6" s="2" t="s">
        <v>41</v>
      </c>
      <c r="L6" s="3" t="s">
        <v>28</v>
      </c>
      <c r="M6" s="2">
        <v>45773</v>
      </c>
      <c r="N6" s="2" t="s">
        <v>42</v>
      </c>
      <c r="O6" s="2">
        <v>8776</v>
      </c>
      <c r="P6" s="2" t="s">
        <v>21</v>
      </c>
      <c r="Q6" s="2">
        <v>16</v>
      </c>
      <c r="R6" s="2">
        <v>4</v>
      </c>
      <c r="S6" s="2" t="s">
        <v>22</v>
      </c>
      <c r="T6" s="2" t="s">
        <v>44</v>
      </c>
      <c r="U6" s="2" t="s">
        <v>30</v>
      </c>
    </row>
    <row r="7" spans="1:21" ht="21">
      <c r="A7" s="2">
        <v>2873</v>
      </c>
      <c r="B7" s="2" t="s">
        <v>115</v>
      </c>
      <c r="C7" s="2" t="s">
        <v>108</v>
      </c>
      <c r="D7" s="4">
        <v>28</v>
      </c>
      <c r="E7" s="2" t="s">
        <v>109</v>
      </c>
      <c r="F7" s="2" t="s">
        <v>106</v>
      </c>
      <c r="G7" s="2" t="s">
        <v>46</v>
      </c>
      <c r="H7" s="2" t="s">
        <v>33</v>
      </c>
      <c r="I7" s="2" t="s">
        <v>47</v>
      </c>
      <c r="J7" s="5">
        <v>42758</v>
      </c>
      <c r="K7" s="2" t="s">
        <v>18</v>
      </c>
      <c r="L7" s="3" t="s">
        <v>28</v>
      </c>
      <c r="M7" s="2">
        <v>96249</v>
      </c>
      <c r="N7" s="2" t="s">
        <v>20</v>
      </c>
      <c r="O7" s="2">
        <v>4826</v>
      </c>
      <c r="P7" s="2" t="s">
        <v>43</v>
      </c>
      <c r="Q7" s="2">
        <v>7</v>
      </c>
      <c r="R7" s="2">
        <v>3</v>
      </c>
      <c r="S7" s="2" t="s">
        <v>22</v>
      </c>
      <c r="T7" s="2" t="s">
        <v>48</v>
      </c>
      <c r="U7" s="2" t="s">
        <v>24</v>
      </c>
    </row>
    <row r="8" spans="1:21" ht="21">
      <c r="A8" s="2">
        <v>3540</v>
      </c>
      <c r="B8" s="2" t="s">
        <v>116</v>
      </c>
      <c r="C8" s="2" t="s">
        <v>104</v>
      </c>
      <c r="D8" s="4">
        <v>20</v>
      </c>
      <c r="E8" s="2" t="s">
        <v>105</v>
      </c>
      <c r="F8" s="2" t="s">
        <v>106</v>
      </c>
      <c r="G8" s="2" t="s">
        <v>32</v>
      </c>
      <c r="H8" s="2" t="s">
        <v>33</v>
      </c>
      <c r="I8" s="2" t="s">
        <v>49</v>
      </c>
      <c r="J8" s="5">
        <v>45521</v>
      </c>
      <c r="K8" s="2" t="s">
        <v>18</v>
      </c>
      <c r="L8" s="3" t="s">
        <v>35</v>
      </c>
      <c r="M8" s="2">
        <v>61596</v>
      </c>
      <c r="N8" s="2" t="s">
        <v>20</v>
      </c>
      <c r="O8" s="2">
        <v>8818</v>
      </c>
      <c r="P8" s="2" t="s">
        <v>43</v>
      </c>
      <c r="Q8" s="2">
        <v>4</v>
      </c>
      <c r="R8" s="2">
        <v>5</v>
      </c>
      <c r="S8" s="2" t="s">
        <v>22</v>
      </c>
      <c r="T8" s="2" t="s">
        <v>37</v>
      </c>
      <c r="U8" s="2" t="s">
        <v>30</v>
      </c>
    </row>
    <row r="9" spans="1:21" ht="21">
      <c r="A9" s="2">
        <v>3653</v>
      </c>
      <c r="B9" s="2" t="s">
        <v>117</v>
      </c>
      <c r="C9" s="2" t="s">
        <v>108</v>
      </c>
      <c r="D9" s="4">
        <v>58</v>
      </c>
      <c r="E9" s="2" t="s">
        <v>114</v>
      </c>
      <c r="F9" s="2" t="s">
        <v>106</v>
      </c>
      <c r="G9" s="2" t="s">
        <v>25</v>
      </c>
      <c r="H9" s="2" t="s">
        <v>50</v>
      </c>
      <c r="I9" s="2" t="s">
        <v>51</v>
      </c>
      <c r="J9" s="5">
        <v>41982</v>
      </c>
      <c r="K9" s="2" t="s">
        <v>18</v>
      </c>
      <c r="L9" s="3" t="s">
        <v>35</v>
      </c>
      <c r="M9" s="2">
        <v>97869</v>
      </c>
      <c r="N9" s="2" t="s">
        <v>42</v>
      </c>
      <c r="O9" s="2">
        <v>1966</v>
      </c>
      <c r="P9" s="2" t="s">
        <v>21</v>
      </c>
      <c r="Q9" s="2">
        <v>10</v>
      </c>
      <c r="R9" s="2">
        <v>4</v>
      </c>
      <c r="S9" s="2" t="s">
        <v>22</v>
      </c>
      <c r="T9" s="2" t="s">
        <v>23</v>
      </c>
      <c r="U9" s="2" t="s">
        <v>24</v>
      </c>
    </row>
    <row r="10" spans="1:21" ht="21">
      <c r="A10" s="2">
        <v>5587</v>
      </c>
      <c r="B10" s="2" t="s">
        <v>118</v>
      </c>
      <c r="C10" s="2" t="s">
        <v>108</v>
      </c>
      <c r="D10" s="4">
        <v>44</v>
      </c>
      <c r="E10" s="2" t="s">
        <v>112</v>
      </c>
      <c r="F10" s="2" t="s">
        <v>119</v>
      </c>
      <c r="G10" s="2" t="s">
        <v>32</v>
      </c>
      <c r="H10" s="2" t="s">
        <v>33</v>
      </c>
      <c r="I10" s="2" t="s">
        <v>52</v>
      </c>
      <c r="J10" s="5">
        <v>44375</v>
      </c>
      <c r="K10" s="2" t="s">
        <v>18</v>
      </c>
      <c r="L10" s="3" t="s">
        <v>19</v>
      </c>
      <c r="M10" s="2">
        <v>81235</v>
      </c>
      <c r="N10" s="2" t="s">
        <v>42</v>
      </c>
      <c r="O10" s="2">
        <v>6553</v>
      </c>
      <c r="P10" s="2" t="s">
        <v>30</v>
      </c>
      <c r="Q10" s="2">
        <v>16</v>
      </c>
      <c r="R10" s="2">
        <v>2</v>
      </c>
      <c r="S10" s="2" t="s">
        <v>30</v>
      </c>
      <c r="T10" s="2" t="s">
        <v>37</v>
      </c>
      <c r="U10" s="2" t="s">
        <v>24</v>
      </c>
    </row>
    <row r="11" spans="1:21" ht="21">
      <c r="A11" s="2">
        <v>9554</v>
      </c>
      <c r="B11" s="2" t="s">
        <v>120</v>
      </c>
      <c r="C11" s="2" t="s">
        <v>104</v>
      </c>
      <c r="D11" s="4">
        <v>29</v>
      </c>
      <c r="E11" s="2" t="s">
        <v>109</v>
      </c>
      <c r="F11" s="2" t="s">
        <v>119</v>
      </c>
      <c r="G11" s="2" t="s">
        <v>32</v>
      </c>
      <c r="H11" s="2" t="s">
        <v>39</v>
      </c>
      <c r="I11" s="2" t="s">
        <v>53</v>
      </c>
      <c r="J11" s="5">
        <v>43240</v>
      </c>
      <c r="K11" s="2" t="s">
        <v>18</v>
      </c>
      <c r="L11" s="3" t="s">
        <v>28</v>
      </c>
      <c r="M11" s="2">
        <v>87852</v>
      </c>
      <c r="N11" s="2" t="s">
        <v>42</v>
      </c>
      <c r="O11" s="2">
        <v>4980</v>
      </c>
      <c r="P11" s="2" t="s">
        <v>43</v>
      </c>
      <c r="Q11" s="2">
        <v>19</v>
      </c>
      <c r="R11" s="2">
        <v>3</v>
      </c>
      <c r="S11" s="2" t="s">
        <v>30</v>
      </c>
      <c r="T11" s="2" t="s">
        <v>44</v>
      </c>
      <c r="U11" s="2" t="s">
        <v>24</v>
      </c>
    </row>
    <row r="12" spans="1:21" ht="21">
      <c r="A12" s="2">
        <v>6213</v>
      </c>
      <c r="B12" s="2" t="s">
        <v>121</v>
      </c>
      <c r="C12" s="2" t="s">
        <v>108</v>
      </c>
      <c r="D12" s="4">
        <v>23</v>
      </c>
      <c r="E12" s="2" t="s">
        <v>105</v>
      </c>
      <c r="F12" s="2" t="s">
        <v>119</v>
      </c>
      <c r="G12" s="2" t="s">
        <v>15</v>
      </c>
      <c r="H12" s="2" t="s">
        <v>33</v>
      </c>
      <c r="I12" s="2" t="s">
        <v>54</v>
      </c>
      <c r="J12" s="5">
        <v>42779</v>
      </c>
      <c r="K12" s="2" t="s">
        <v>41</v>
      </c>
      <c r="L12" s="3" t="s">
        <v>28</v>
      </c>
      <c r="M12" s="2">
        <v>59359</v>
      </c>
      <c r="N12" s="2" t="s">
        <v>42</v>
      </c>
      <c r="O12" s="2">
        <v>9449</v>
      </c>
      <c r="P12" s="2" t="s">
        <v>43</v>
      </c>
      <c r="Q12" s="2">
        <v>20</v>
      </c>
      <c r="R12" s="2">
        <v>4</v>
      </c>
      <c r="S12" s="2" t="s">
        <v>30</v>
      </c>
      <c r="T12" s="2" t="s">
        <v>37</v>
      </c>
      <c r="U12" s="2" t="s">
        <v>30</v>
      </c>
    </row>
    <row r="13" spans="1:21" ht="21">
      <c r="A13" s="2">
        <v>9105</v>
      </c>
      <c r="B13" s="2" t="s">
        <v>122</v>
      </c>
      <c r="C13" s="2" t="s">
        <v>104</v>
      </c>
      <c r="D13" s="4">
        <v>30</v>
      </c>
      <c r="E13" s="2" t="s">
        <v>109</v>
      </c>
      <c r="F13" s="2" t="s">
        <v>119</v>
      </c>
      <c r="G13" s="2" t="s">
        <v>25</v>
      </c>
      <c r="H13" s="2" t="s">
        <v>16</v>
      </c>
      <c r="I13" s="2" t="s">
        <v>55</v>
      </c>
      <c r="J13" s="5">
        <v>45417</v>
      </c>
      <c r="K13" s="2" t="s">
        <v>41</v>
      </c>
      <c r="L13" s="3" t="s">
        <v>35</v>
      </c>
      <c r="M13" s="2">
        <v>81225</v>
      </c>
      <c r="N13" s="2" t="s">
        <v>36</v>
      </c>
      <c r="O13" s="2">
        <v>6202</v>
      </c>
      <c r="P13" s="2" t="s">
        <v>43</v>
      </c>
      <c r="Q13" s="2">
        <v>2</v>
      </c>
      <c r="R13" s="2">
        <v>1</v>
      </c>
      <c r="S13" s="2" t="s">
        <v>31</v>
      </c>
      <c r="T13" s="2" t="s">
        <v>56</v>
      </c>
      <c r="U13" s="2" t="s">
        <v>24</v>
      </c>
    </row>
    <row r="14" spans="1:21" ht="21">
      <c r="A14" s="2">
        <v>9508</v>
      </c>
      <c r="B14" s="2" t="s">
        <v>123</v>
      </c>
      <c r="C14" s="2" t="s">
        <v>108</v>
      </c>
      <c r="D14" s="4">
        <v>49</v>
      </c>
      <c r="E14" s="2" t="s">
        <v>124</v>
      </c>
      <c r="F14" s="2" t="s">
        <v>119</v>
      </c>
      <c r="G14" s="2" t="s">
        <v>15</v>
      </c>
      <c r="H14" s="2" t="s">
        <v>16</v>
      </c>
      <c r="I14" s="2" t="s">
        <v>57</v>
      </c>
      <c r="J14" s="5">
        <v>44670</v>
      </c>
      <c r="K14" s="2" t="s">
        <v>41</v>
      </c>
      <c r="L14" s="3" t="s">
        <v>19</v>
      </c>
      <c r="M14" s="2">
        <v>32788</v>
      </c>
      <c r="N14" s="2" t="s">
        <v>36</v>
      </c>
      <c r="O14" s="2">
        <v>4396</v>
      </c>
      <c r="P14" s="2" t="s">
        <v>21</v>
      </c>
      <c r="Q14" s="2">
        <v>13</v>
      </c>
      <c r="R14" s="2">
        <v>5</v>
      </c>
      <c r="S14" s="2" t="s">
        <v>30</v>
      </c>
      <c r="T14" s="2" t="s">
        <v>48</v>
      </c>
      <c r="U14" s="2" t="s">
        <v>38</v>
      </c>
    </row>
    <row r="15" spans="1:21" ht="21">
      <c r="A15" s="2">
        <v>2436</v>
      </c>
      <c r="B15" s="2" t="s">
        <v>125</v>
      </c>
      <c r="C15" s="2" t="s">
        <v>108</v>
      </c>
      <c r="D15" s="4">
        <v>60</v>
      </c>
      <c r="E15" s="2" t="s">
        <v>114</v>
      </c>
      <c r="F15" s="2" t="s">
        <v>119</v>
      </c>
      <c r="G15" s="2" t="s">
        <v>15</v>
      </c>
      <c r="H15" s="2" t="s">
        <v>39</v>
      </c>
      <c r="I15" s="2" t="s">
        <v>58</v>
      </c>
      <c r="J15" s="5">
        <v>42324</v>
      </c>
      <c r="K15" s="2" t="s">
        <v>41</v>
      </c>
      <c r="L15" s="3" t="s">
        <v>35</v>
      </c>
      <c r="M15" s="2">
        <v>70452</v>
      </c>
      <c r="N15" s="2" t="s">
        <v>36</v>
      </c>
      <c r="O15" s="2">
        <v>9911</v>
      </c>
      <c r="P15" s="2" t="s">
        <v>30</v>
      </c>
      <c r="Q15" s="2">
        <v>2</v>
      </c>
      <c r="R15" s="2">
        <v>3</v>
      </c>
      <c r="S15" s="2" t="s">
        <v>30</v>
      </c>
      <c r="T15" s="2" t="s">
        <v>48</v>
      </c>
      <c r="U15" s="2" t="s">
        <v>24</v>
      </c>
    </row>
    <row r="16" spans="1:21" ht="21">
      <c r="A16" s="2">
        <v>4441</v>
      </c>
      <c r="B16" s="2" t="s">
        <v>126</v>
      </c>
      <c r="C16" s="2" t="s">
        <v>104</v>
      </c>
      <c r="D16" s="4">
        <v>46</v>
      </c>
      <c r="E16" s="2" t="s">
        <v>124</v>
      </c>
      <c r="F16" s="2" t="s">
        <v>119</v>
      </c>
      <c r="G16" s="2" t="s">
        <v>46</v>
      </c>
      <c r="H16" s="2" t="s">
        <v>16</v>
      </c>
      <c r="I16" s="2" t="s">
        <v>59</v>
      </c>
      <c r="J16" s="5">
        <v>45178</v>
      </c>
      <c r="K16" s="2" t="s">
        <v>18</v>
      </c>
      <c r="L16" s="3" t="s">
        <v>28</v>
      </c>
      <c r="M16" s="2">
        <v>33045</v>
      </c>
      <c r="N16" s="2" t="s">
        <v>29</v>
      </c>
      <c r="O16" s="2">
        <v>1456</v>
      </c>
      <c r="P16" s="2" t="s">
        <v>30</v>
      </c>
      <c r="Q16" s="2">
        <v>16</v>
      </c>
      <c r="R16" s="2">
        <v>4</v>
      </c>
      <c r="S16" s="2" t="s">
        <v>31</v>
      </c>
      <c r="T16" s="2" t="s">
        <v>48</v>
      </c>
      <c r="U16" s="2" t="s">
        <v>30</v>
      </c>
    </row>
    <row r="17" spans="1:21" ht="21">
      <c r="A17" s="2">
        <v>5827</v>
      </c>
      <c r="B17" s="2" t="s">
        <v>127</v>
      </c>
      <c r="C17" s="2" t="s">
        <v>104</v>
      </c>
      <c r="D17" s="4">
        <v>57</v>
      </c>
      <c r="E17" s="2" t="s">
        <v>114</v>
      </c>
      <c r="F17" s="2" t="s">
        <v>119</v>
      </c>
      <c r="G17" s="2" t="s">
        <v>46</v>
      </c>
      <c r="H17" s="2" t="s">
        <v>26</v>
      </c>
      <c r="I17" s="2" t="s">
        <v>60</v>
      </c>
      <c r="J17" s="5">
        <v>43081</v>
      </c>
      <c r="K17" s="2" t="s">
        <v>61</v>
      </c>
      <c r="L17" s="3" t="s">
        <v>35</v>
      </c>
      <c r="M17" s="2">
        <v>96429</v>
      </c>
      <c r="N17" s="2" t="s">
        <v>20</v>
      </c>
      <c r="O17" s="2">
        <v>4740</v>
      </c>
      <c r="P17" s="2" t="s">
        <v>30</v>
      </c>
      <c r="Q17" s="2">
        <v>8</v>
      </c>
      <c r="R17" s="2">
        <v>2</v>
      </c>
      <c r="S17" s="2" t="s">
        <v>31</v>
      </c>
      <c r="T17" s="2" t="s">
        <v>44</v>
      </c>
      <c r="U17" s="2" t="s">
        <v>30</v>
      </c>
    </row>
    <row r="18" spans="1:21" ht="21">
      <c r="A18" s="2">
        <v>5184</v>
      </c>
      <c r="B18" s="2" t="s">
        <v>128</v>
      </c>
      <c r="C18" s="2" t="s">
        <v>108</v>
      </c>
      <c r="D18" s="4">
        <v>24</v>
      </c>
      <c r="E18" s="2" t="s">
        <v>105</v>
      </c>
      <c r="F18" s="2" t="s">
        <v>119</v>
      </c>
      <c r="G18" s="2" t="s">
        <v>32</v>
      </c>
      <c r="H18" s="2" t="s">
        <v>33</v>
      </c>
      <c r="I18" s="2" t="s">
        <v>62</v>
      </c>
      <c r="J18" s="5">
        <v>42804</v>
      </c>
      <c r="K18" s="2" t="s">
        <v>61</v>
      </c>
      <c r="L18" s="3" t="s">
        <v>35</v>
      </c>
      <c r="M18" s="2">
        <v>33183</v>
      </c>
      <c r="N18" s="2" t="s">
        <v>42</v>
      </c>
      <c r="O18" s="2">
        <v>8114</v>
      </c>
      <c r="P18" s="2" t="s">
        <v>30</v>
      </c>
      <c r="Q18" s="2">
        <v>4</v>
      </c>
      <c r="R18" s="2">
        <v>5</v>
      </c>
      <c r="S18" s="2" t="s">
        <v>31</v>
      </c>
      <c r="T18" s="2" t="s">
        <v>56</v>
      </c>
      <c r="U18" s="2" t="s">
        <v>38</v>
      </c>
    </row>
    <row r="19" spans="1:21" ht="21">
      <c r="A19" s="2">
        <v>5874</v>
      </c>
      <c r="B19" s="2" t="s">
        <v>129</v>
      </c>
      <c r="C19" s="2" t="s">
        <v>104</v>
      </c>
      <c r="D19" s="4">
        <v>35</v>
      </c>
      <c r="E19" s="2" t="s">
        <v>109</v>
      </c>
      <c r="F19" s="2" t="s">
        <v>119</v>
      </c>
      <c r="G19" s="2" t="s">
        <v>46</v>
      </c>
      <c r="H19" s="2" t="s">
        <v>16</v>
      </c>
      <c r="I19" s="2" t="s">
        <v>63</v>
      </c>
      <c r="J19" s="5">
        <v>43528</v>
      </c>
      <c r="K19" s="2" t="s">
        <v>61</v>
      </c>
      <c r="L19" s="3" t="s">
        <v>19</v>
      </c>
      <c r="M19" s="2">
        <v>75065</v>
      </c>
      <c r="N19" s="2" t="s">
        <v>20</v>
      </c>
      <c r="O19" s="2">
        <v>7123</v>
      </c>
      <c r="P19" s="2" t="s">
        <v>30</v>
      </c>
      <c r="Q19" s="2">
        <v>20</v>
      </c>
      <c r="R19" s="2">
        <v>4</v>
      </c>
      <c r="S19" s="2" t="s">
        <v>30</v>
      </c>
      <c r="T19" s="2" t="s">
        <v>23</v>
      </c>
      <c r="U19" s="2" t="s">
        <v>38</v>
      </c>
    </row>
    <row r="20" spans="1:21" ht="21">
      <c r="A20" s="2">
        <v>9834</v>
      </c>
      <c r="B20" s="2" t="s">
        <v>130</v>
      </c>
      <c r="C20" s="2" t="s">
        <v>108</v>
      </c>
      <c r="D20" s="4">
        <v>41</v>
      </c>
      <c r="E20" s="2" t="s">
        <v>112</v>
      </c>
      <c r="F20" s="2" t="s">
        <v>131</v>
      </c>
      <c r="G20" s="2" t="s">
        <v>25</v>
      </c>
      <c r="H20" s="2" t="s">
        <v>50</v>
      </c>
      <c r="I20" s="2" t="s">
        <v>64</v>
      </c>
      <c r="J20" s="5">
        <v>44885</v>
      </c>
      <c r="K20" s="2" t="s">
        <v>18</v>
      </c>
      <c r="L20" s="3" t="s">
        <v>35</v>
      </c>
      <c r="M20" s="2">
        <v>32877</v>
      </c>
      <c r="N20" s="2" t="s">
        <v>20</v>
      </c>
      <c r="O20" s="2">
        <v>6432</v>
      </c>
      <c r="P20" s="2" t="s">
        <v>21</v>
      </c>
      <c r="Q20" s="2">
        <v>11</v>
      </c>
      <c r="R20" s="2">
        <v>3</v>
      </c>
      <c r="S20" s="2" t="s">
        <v>30</v>
      </c>
      <c r="T20" s="2" t="s">
        <v>23</v>
      </c>
      <c r="U20" s="2" t="s">
        <v>30</v>
      </c>
    </row>
    <row r="21" spans="1:21" ht="21">
      <c r="A21" s="2">
        <v>5096</v>
      </c>
      <c r="B21" s="2" t="s">
        <v>132</v>
      </c>
      <c r="C21" s="2" t="s">
        <v>104</v>
      </c>
      <c r="D21" s="4">
        <v>36</v>
      </c>
      <c r="E21" s="2" t="s">
        <v>112</v>
      </c>
      <c r="F21" s="2" t="s">
        <v>131</v>
      </c>
      <c r="G21" s="2" t="s">
        <v>65</v>
      </c>
      <c r="H21" s="2" t="s">
        <v>39</v>
      </c>
      <c r="I21" s="2" t="s">
        <v>66</v>
      </c>
      <c r="J21" s="5">
        <v>44257</v>
      </c>
      <c r="K21" s="2" t="s">
        <v>18</v>
      </c>
      <c r="L21" s="3" t="s">
        <v>28</v>
      </c>
      <c r="M21" s="2">
        <v>46811</v>
      </c>
      <c r="N21" s="2" t="s">
        <v>36</v>
      </c>
      <c r="O21" s="2">
        <v>1567</v>
      </c>
      <c r="P21" s="2" t="s">
        <v>30</v>
      </c>
      <c r="Q21" s="2">
        <v>7</v>
      </c>
      <c r="R21" s="2">
        <v>1</v>
      </c>
      <c r="S21" s="2" t="s">
        <v>31</v>
      </c>
      <c r="T21" s="2" t="s">
        <v>23</v>
      </c>
      <c r="U21" s="2" t="s">
        <v>38</v>
      </c>
    </row>
    <row r="22" spans="1:21" ht="21">
      <c r="A22" s="2">
        <v>2263</v>
      </c>
      <c r="B22" s="2" t="s">
        <v>133</v>
      </c>
      <c r="C22" s="2" t="s">
        <v>108</v>
      </c>
      <c r="D22" s="4">
        <v>31</v>
      </c>
      <c r="E22" s="2" t="s">
        <v>109</v>
      </c>
      <c r="F22" s="2" t="s">
        <v>131</v>
      </c>
      <c r="G22" s="2" t="s">
        <v>32</v>
      </c>
      <c r="H22" s="2" t="s">
        <v>26</v>
      </c>
      <c r="I22" s="2" t="s">
        <v>67</v>
      </c>
      <c r="J22" s="5">
        <v>44409</v>
      </c>
      <c r="K22" s="2" t="s">
        <v>41</v>
      </c>
      <c r="L22" s="3" t="s">
        <v>28</v>
      </c>
      <c r="M22" s="2">
        <v>87538</v>
      </c>
      <c r="N22" s="2" t="s">
        <v>20</v>
      </c>
      <c r="O22" s="2">
        <v>3588</v>
      </c>
      <c r="P22" s="2" t="s">
        <v>43</v>
      </c>
      <c r="Q22" s="2">
        <v>11</v>
      </c>
      <c r="R22" s="2">
        <v>4</v>
      </c>
      <c r="S22" s="2" t="s">
        <v>31</v>
      </c>
      <c r="T22" s="2" t="s">
        <v>44</v>
      </c>
      <c r="U22" s="2" t="s">
        <v>30</v>
      </c>
    </row>
    <row r="23" spans="1:21" ht="21">
      <c r="A23" s="2">
        <v>6505</v>
      </c>
      <c r="B23" s="2" t="s">
        <v>134</v>
      </c>
      <c r="C23" s="2" t="s">
        <v>104</v>
      </c>
      <c r="D23" s="4">
        <v>28</v>
      </c>
      <c r="E23" s="2" t="s">
        <v>109</v>
      </c>
      <c r="F23" s="2" t="s">
        <v>131</v>
      </c>
      <c r="G23" s="2" t="s">
        <v>25</v>
      </c>
      <c r="H23" s="2" t="s">
        <v>50</v>
      </c>
      <c r="I23" s="2" t="s">
        <v>68</v>
      </c>
      <c r="J23" s="5">
        <v>42230</v>
      </c>
      <c r="K23" s="2" t="s">
        <v>18</v>
      </c>
      <c r="L23" s="3" t="s">
        <v>28</v>
      </c>
      <c r="M23" s="2">
        <v>73002</v>
      </c>
      <c r="N23" s="2" t="s">
        <v>20</v>
      </c>
      <c r="O23" s="2">
        <v>6296</v>
      </c>
      <c r="P23" s="2" t="s">
        <v>21</v>
      </c>
      <c r="Q23" s="2">
        <v>2</v>
      </c>
      <c r="R23" s="2">
        <v>5</v>
      </c>
      <c r="S23" s="2" t="s">
        <v>31</v>
      </c>
      <c r="T23" s="2" t="s">
        <v>37</v>
      </c>
      <c r="U23" s="2" t="s">
        <v>24</v>
      </c>
    </row>
    <row r="24" spans="1:21" ht="21">
      <c r="A24" s="2">
        <v>8626</v>
      </c>
      <c r="B24" s="2" t="s">
        <v>135</v>
      </c>
      <c r="C24" s="2" t="s">
        <v>108</v>
      </c>
      <c r="D24" s="4">
        <v>37</v>
      </c>
      <c r="E24" s="2" t="s">
        <v>112</v>
      </c>
      <c r="F24" s="2" t="s">
        <v>131</v>
      </c>
      <c r="G24" s="2" t="s">
        <v>25</v>
      </c>
      <c r="H24" s="2" t="s">
        <v>39</v>
      </c>
      <c r="I24" s="2" t="s">
        <v>69</v>
      </c>
      <c r="J24" s="5">
        <v>42298</v>
      </c>
      <c r="K24" s="2" t="s">
        <v>61</v>
      </c>
      <c r="L24" s="3" t="s">
        <v>35</v>
      </c>
      <c r="M24" s="2">
        <v>41653</v>
      </c>
      <c r="N24" s="2" t="s">
        <v>36</v>
      </c>
      <c r="O24" s="2">
        <v>9236</v>
      </c>
      <c r="P24" s="2" t="s">
        <v>30</v>
      </c>
      <c r="Q24" s="2">
        <v>13</v>
      </c>
      <c r="R24" s="2">
        <v>3</v>
      </c>
      <c r="S24" s="2" t="s">
        <v>31</v>
      </c>
      <c r="T24" s="2" t="s">
        <v>23</v>
      </c>
      <c r="U24" s="2" t="s">
        <v>30</v>
      </c>
    </row>
    <row r="25" spans="1:21" ht="21">
      <c r="A25" s="2">
        <v>5979</v>
      </c>
      <c r="B25" s="2" t="s">
        <v>136</v>
      </c>
      <c r="C25" s="2" t="s">
        <v>104</v>
      </c>
      <c r="D25" s="4">
        <v>31</v>
      </c>
      <c r="E25" s="2" t="s">
        <v>109</v>
      </c>
      <c r="F25" s="2" t="s">
        <v>131</v>
      </c>
      <c r="G25" s="2" t="s">
        <v>15</v>
      </c>
      <c r="H25" s="2" t="s">
        <v>33</v>
      </c>
      <c r="I25" s="2" t="s">
        <v>70</v>
      </c>
      <c r="J25" s="5">
        <v>42077</v>
      </c>
      <c r="K25" s="2" t="s">
        <v>41</v>
      </c>
      <c r="L25" s="3" t="s">
        <v>28</v>
      </c>
      <c r="M25" s="2">
        <v>67582</v>
      </c>
      <c r="N25" s="2" t="s">
        <v>42</v>
      </c>
      <c r="O25" s="2">
        <v>1375</v>
      </c>
      <c r="P25" s="2" t="s">
        <v>21</v>
      </c>
      <c r="Q25" s="2">
        <v>20</v>
      </c>
      <c r="R25" s="2">
        <v>2</v>
      </c>
      <c r="S25" s="2" t="s">
        <v>31</v>
      </c>
      <c r="T25" s="2" t="s">
        <v>37</v>
      </c>
      <c r="U25" s="2" t="s">
        <v>30</v>
      </c>
    </row>
    <row r="26" spans="1:21" ht="21">
      <c r="A26" s="2">
        <v>3104</v>
      </c>
      <c r="B26" s="2" t="s">
        <v>137</v>
      </c>
      <c r="C26" s="2" t="s">
        <v>108</v>
      </c>
      <c r="D26" s="4">
        <v>23</v>
      </c>
      <c r="E26" s="2" t="s">
        <v>105</v>
      </c>
      <c r="F26" s="2" t="s">
        <v>131</v>
      </c>
      <c r="G26" s="2" t="s">
        <v>25</v>
      </c>
      <c r="H26" s="2" t="s">
        <v>26</v>
      </c>
      <c r="I26" s="2" t="s">
        <v>71</v>
      </c>
      <c r="J26" s="5">
        <v>45434</v>
      </c>
      <c r="K26" s="2" t="s">
        <v>61</v>
      </c>
      <c r="L26" s="3" t="s">
        <v>28</v>
      </c>
      <c r="M26" s="2">
        <v>37351</v>
      </c>
      <c r="N26" s="2" t="s">
        <v>36</v>
      </c>
      <c r="O26" s="2">
        <v>7858</v>
      </c>
      <c r="P26" s="2" t="s">
        <v>43</v>
      </c>
      <c r="Q26" s="2">
        <v>18</v>
      </c>
      <c r="R26" s="2">
        <v>4</v>
      </c>
      <c r="S26" s="2" t="s">
        <v>22</v>
      </c>
      <c r="T26" s="2" t="s">
        <v>37</v>
      </c>
      <c r="U26" s="2" t="s">
        <v>38</v>
      </c>
    </row>
    <row r="27" spans="1:21" ht="21">
      <c r="A27" s="2">
        <v>8967</v>
      </c>
      <c r="B27" s="2" t="s">
        <v>138</v>
      </c>
      <c r="C27" s="2" t="s">
        <v>104</v>
      </c>
      <c r="D27" s="4">
        <v>48</v>
      </c>
      <c r="E27" s="2" t="s">
        <v>124</v>
      </c>
      <c r="F27" s="2" t="s">
        <v>139</v>
      </c>
      <c r="G27" s="2" t="s">
        <v>32</v>
      </c>
      <c r="H27" s="2" t="s">
        <v>16</v>
      </c>
      <c r="I27" s="2" t="s">
        <v>72</v>
      </c>
      <c r="J27" s="5">
        <v>42813</v>
      </c>
      <c r="K27" s="2" t="s">
        <v>18</v>
      </c>
      <c r="L27" s="3" t="s">
        <v>28</v>
      </c>
      <c r="M27" s="2">
        <v>36721</v>
      </c>
      <c r="N27" s="2" t="s">
        <v>29</v>
      </c>
      <c r="O27" s="2">
        <v>8820</v>
      </c>
      <c r="P27" s="2" t="s">
        <v>43</v>
      </c>
      <c r="Q27" s="2">
        <v>0</v>
      </c>
      <c r="R27" s="2">
        <v>5</v>
      </c>
      <c r="S27" s="2" t="s">
        <v>31</v>
      </c>
      <c r="T27" s="2" t="s">
        <v>37</v>
      </c>
      <c r="U27" s="2" t="s">
        <v>24</v>
      </c>
    </row>
    <row r="28" spans="1:21" ht="21">
      <c r="A28" s="2">
        <v>5087</v>
      </c>
      <c r="B28" s="2" t="s">
        <v>140</v>
      </c>
      <c r="C28" s="2" t="s">
        <v>108</v>
      </c>
      <c r="D28" s="4">
        <v>28</v>
      </c>
      <c r="E28" s="2" t="s">
        <v>109</v>
      </c>
      <c r="F28" s="2" t="s">
        <v>139</v>
      </c>
      <c r="G28" s="2" t="s">
        <v>65</v>
      </c>
      <c r="H28" s="2" t="s">
        <v>16</v>
      </c>
      <c r="I28" s="2" t="s">
        <v>73</v>
      </c>
      <c r="J28" s="5">
        <v>44454</v>
      </c>
      <c r="K28" s="2" t="s">
        <v>41</v>
      </c>
      <c r="L28" s="3" t="s">
        <v>35</v>
      </c>
      <c r="M28" s="2">
        <v>46326</v>
      </c>
      <c r="N28" s="2" t="s">
        <v>29</v>
      </c>
      <c r="O28" s="2">
        <v>9189</v>
      </c>
      <c r="P28" s="2" t="s">
        <v>43</v>
      </c>
      <c r="Q28" s="2">
        <v>8</v>
      </c>
      <c r="R28" s="2">
        <v>3</v>
      </c>
      <c r="S28" s="2" t="s">
        <v>22</v>
      </c>
      <c r="T28" s="2" t="s">
        <v>48</v>
      </c>
      <c r="U28" s="2" t="s">
        <v>38</v>
      </c>
    </row>
    <row r="29" spans="1:21" ht="21">
      <c r="A29" s="2">
        <v>3358</v>
      </c>
      <c r="B29" s="2" t="s">
        <v>141</v>
      </c>
      <c r="C29" s="2" t="s">
        <v>104</v>
      </c>
      <c r="D29" s="4">
        <v>30</v>
      </c>
      <c r="E29" s="2" t="s">
        <v>109</v>
      </c>
      <c r="F29" s="2" t="s">
        <v>139</v>
      </c>
      <c r="G29" s="2" t="s">
        <v>46</v>
      </c>
      <c r="H29" s="2" t="s">
        <v>26</v>
      </c>
      <c r="I29" s="2" t="s">
        <v>74</v>
      </c>
      <c r="J29" s="5">
        <v>44690</v>
      </c>
      <c r="K29" s="2" t="s">
        <v>18</v>
      </c>
      <c r="L29" s="3" t="s">
        <v>19</v>
      </c>
      <c r="M29" s="2">
        <v>59007</v>
      </c>
      <c r="N29" s="2" t="s">
        <v>20</v>
      </c>
      <c r="O29" s="2">
        <v>3380</v>
      </c>
      <c r="P29" s="2" t="s">
        <v>21</v>
      </c>
      <c r="Q29" s="2">
        <v>17</v>
      </c>
      <c r="R29" s="2">
        <v>4</v>
      </c>
      <c r="S29" s="2" t="s">
        <v>30</v>
      </c>
      <c r="T29" s="2" t="s">
        <v>56</v>
      </c>
      <c r="U29" s="2" t="s">
        <v>24</v>
      </c>
    </row>
    <row r="30" spans="1:21" ht="21">
      <c r="A30" s="2">
        <v>8256</v>
      </c>
      <c r="B30" s="2" t="s">
        <v>142</v>
      </c>
      <c r="C30" s="2" t="s">
        <v>108</v>
      </c>
      <c r="D30" s="4">
        <v>46</v>
      </c>
      <c r="E30" s="2" t="s">
        <v>124</v>
      </c>
      <c r="F30" s="2" t="s">
        <v>139</v>
      </c>
      <c r="G30" s="2" t="s">
        <v>15</v>
      </c>
      <c r="H30" s="2" t="s">
        <v>39</v>
      </c>
      <c r="I30" s="2" t="s">
        <v>75</v>
      </c>
      <c r="J30" s="5">
        <v>42908</v>
      </c>
      <c r="K30" s="2" t="s">
        <v>18</v>
      </c>
      <c r="L30" s="3" t="s">
        <v>28</v>
      </c>
      <c r="M30" s="2">
        <v>52020</v>
      </c>
      <c r="N30" s="2" t="s">
        <v>29</v>
      </c>
      <c r="O30" s="2">
        <v>9585</v>
      </c>
      <c r="P30" s="2" t="s">
        <v>43</v>
      </c>
      <c r="Q30" s="2">
        <v>0</v>
      </c>
      <c r="R30" s="2">
        <v>2</v>
      </c>
      <c r="S30" s="2" t="s">
        <v>31</v>
      </c>
      <c r="T30" s="2" t="s">
        <v>56</v>
      </c>
      <c r="U30" s="2" t="s">
        <v>30</v>
      </c>
    </row>
    <row r="31" spans="1:21" ht="21">
      <c r="A31" s="2">
        <v>5763</v>
      </c>
      <c r="B31" s="2" t="s">
        <v>143</v>
      </c>
      <c r="C31" s="2" t="s">
        <v>104</v>
      </c>
      <c r="D31" s="4">
        <v>44</v>
      </c>
      <c r="E31" s="2" t="s">
        <v>112</v>
      </c>
      <c r="F31" s="2" t="s">
        <v>139</v>
      </c>
      <c r="G31" s="2" t="s">
        <v>32</v>
      </c>
      <c r="H31" s="2" t="s">
        <v>26</v>
      </c>
      <c r="I31" s="2" t="s">
        <v>76</v>
      </c>
      <c r="J31" s="5">
        <v>44163</v>
      </c>
      <c r="K31" s="2" t="s">
        <v>61</v>
      </c>
      <c r="L31" s="3" t="s">
        <v>28</v>
      </c>
      <c r="M31" s="2">
        <v>98961</v>
      </c>
      <c r="N31" s="2" t="s">
        <v>36</v>
      </c>
      <c r="O31" s="2">
        <v>2688</v>
      </c>
      <c r="P31" s="2" t="s">
        <v>21</v>
      </c>
      <c r="Q31" s="2">
        <v>2</v>
      </c>
      <c r="R31" s="2">
        <v>5</v>
      </c>
      <c r="S31" s="2" t="s">
        <v>31</v>
      </c>
      <c r="T31" s="2" t="s">
        <v>56</v>
      </c>
      <c r="U31" s="2" t="s">
        <v>24</v>
      </c>
    </row>
    <row r="32" spans="1:21" ht="21">
      <c r="A32" s="2">
        <v>6838</v>
      </c>
      <c r="B32" s="2" t="s">
        <v>144</v>
      </c>
      <c r="C32" s="2" t="s">
        <v>104</v>
      </c>
      <c r="D32" s="4">
        <v>45</v>
      </c>
      <c r="E32" s="2" t="s">
        <v>112</v>
      </c>
      <c r="F32" s="2" t="s">
        <v>139</v>
      </c>
      <c r="G32" s="2" t="s">
        <v>46</v>
      </c>
      <c r="H32" s="2" t="s">
        <v>33</v>
      </c>
      <c r="I32" s="2" t="s">
        <v>77</v>
      </c>
      <c r="J32" s="5">
        <v>42246</v>
      </c>
      <c r="K32" s="2" t="s">
        <v>61</v>
      </c>
      <c r="L32" s="3" t="s">
        <v>28</v>
      </c>
      <c r="M32" s="2">
        <v>81943</v>
      </c>
      <c r="N32" s="2" t="s">
        <v>20</v>
      </c>
      <c r="O32" s="2">
        <v>2255</v>
      </c>
      <c r="P32" s="2" t="s">
        <v>21</v>
      </c>
      <c r="Q32" s="2">
        <v>18</v>
      </c>
      <c r="R32" s="2">
        <v>4</v>
      </c>
      <c r="S32" s="2" t="s">
        <v>30</v>
      </c>
      <c r="T32" s="2" t="s">
        <v>44</v>
      </c>
      <c r="U32" s="2" t="s">
        <v>24</v>
      </c>
    </row>
    <row r="33" spans="1:21" ht="21">
      <c r="A33" s="2">
        <v>9544</v>
      </c>
      <c r="B33" s="2" t="s">
        <v>145</v>
      </c>
      <c r="C33" s="2" t="s">
        <v>108</v>
      </c>
      <c r="D33" s="4">
        <v>52</v>
      </c>
      <c r="E33" s="2" t="s">
        <v>124</v>
      </c>
      <c r="F33" s="2" t="s">
        <v>139</v>
      </c>
      <c r="G33" s="2" t="s">
        <v>32</v>
      </c>
      <c r="H33" s="2" t="s">
        <v>26</v>
      </c>
      <c r="I33" s="2" t="s">
        <v>78</v>
      </c>
      <c r="J33" s="5">
        <v>43400</v>
      </c>
      <c r="K33" s="2" t="s">
        <v>61</v>
      </c>
      <c r="L33" s="3" t="s">
        <v>28</v>
      </c>
      <c r="M33" s="2">
        <v>47627</v>
      </c>
      <c r="N33" s="2" t="s">
        <v>20</v>
      </c>
      <c r="O33" s="2">
        <v>1221</v>
      </c>
      <c r="P33" s="2" t="s">
        <v>30</v>
      </c>
      <c r="Q33" s="2">
        <v>4</v>
      </c>
      <c r="R33" s="2">
        <v>3</v>
      </c>
      <c r="S33" s="2" t="s">
        <v>30</v>
      </c>
      <c r="T33" s="2" t="s">
        <v>37</v>
      </c>
      <c r="U33" s="2" t="s">
        <v>30</v>
      </c>
    </row>
    <row r="34" spans="1:21" ht="21">
      <c r="A34" s="2">
        <v>8012</v>
      </c>
      <c r="B34" s="2" t="s">
        <v>146</v>
      </c>
      <c r="C34" s="2" t="s">
        <v>104</v>
      </c>
      <c r="D34" s="4">
        <v>52</v>
      </c>
      <c r="E34" s="2" t="s">
        <v>124</v>
      </c>
      <c r="F34" s="2" t="s">
        <v>139</v>
      </c>
      <c r="G34" s="2" t="s">
        <v>15</v>
      </c>
      <c r="H34" s="2" t="s">
        <v>50</v>
      </c>
      <c r="I34" s="2" t="s">
        <v>79</v>
      </c>
      <c r="J34" s="5">
        <v>43338</v>
      </c>
      <c r="K34" s="2" t="s">
        <v>61</v>
      </c>
      <c r="L34" s="3" t="s">
        <v>28</v>
      </c>
      <c r="M34" s="2">
        <v>56162</v>
      </c>
      <c r="N34" s="2" t="s">
        <v>36</v>
      </c>
      <c r="O34" s="2">
        <v>6560</v>
      </c>
      <c r="P34" s="2" t="s">
        <v>43</v>
      </c>
      <c r="Q34" s="2">
        <v>9</v>
      </c>
      <c r="R34" s="2">
        <v>5</v>
      </c>
      <c r="S34" s="2" t="s">
        <v>31</v>
      </c>
      <c r="T34" s="2" t="s">
        <v>48</v>
      </c>
      <c r="U34" s="2" t="s">
        <v>30</v>
      </c>
    </row>
    <row r="35" spans="1:21" ht="21">
      <c r="A35" s="2">
        <v>9374</v>
      </c>
      <c r="B35" s="2" t="s">
        <v>147</v>
      </c>
      <c r="C35" s="2" t="s">
        <v>108</v>
      </c>
      <c r="D35" s="4">
        <v>42</v>
      </c>
      <c r="E35" s="2" t="s">
        <v>112</v>
      </c>
      <c r="F35" s="2" t="s">
        <v>139</v>
      </c>
      <c r="G35" s="2" t="s">
        <v>32</v>
      </c>
      <c r="H35" s="2" t="s">
        <v>33</v>
      </c>
      <c r="I35" s="2" t="s">
        <v>80</v>
      </c>
      <c r="J35" s="5">
        <v>45131</v>
      </c>
      <c r="K35" s="2" t="s">
        <v>41</v>
      </c>
      <c r="L35" s="3" t="s">
        <v>35</v>
      </c>
      <c r="M35" s="2">
        <v>95734</v>
      </c>
      <c r="N35" s="2" t="s">
        <v>20</v>
      </c>
      <c r="O35" s="2">
        <v>4854</v>
      </c>
      <c r="P35" s="2" t="s">
        <v>21</v>
      </c>
      <c r="Q35" s="2">
        <v>13</v>
      </c>
      <c r="R35" s="2">
        <v>2</v>
      </c>
      <c r="S35" s="2" t="s">
        <v>22</v>
      </c>
      <c r="T35" s="2" t="s">
        <v>23</v>
      </c>
      <c r="U35" s="2" t="s">
        <v>24</v>
      </c>
    </row>
    <row r="36" spans="1:21" ht="21">
      <c r="A36" s="2">
        <v>3487</v>
      </c>
      <c r="B36" s="2" t="s">
        <v>148</v>
      </c>
      <c r="C36" s="2" t="s">
        <v>104</v>
      </c>
      <c r="D36" s="4">
        <v>58</v>
      </c>
      <c r="E36" s="2" t="s">
        <v>114</v>
      </c>
      <c r="F36" s="2" t="s">
        <v>139</v>
      </c>
      <c r="G36" s="2" t="s">
        <v>25</v>
      </c>
      <c r="H36" s="2" t="s">
        <v>39</v>
      </c>
      <c r="I36" s="2" t="s">
        <v>81</v>
      </c>
      <c r="J36" s="5">
        <v>43290</v>
      </c>
      <c r="K36" s="2" t="s">
        <v>41</v>
      </c>
      <c r="L36" s="3" t="s">
        <v>35</v>
      </c>
      <c r="M36" s="2">
        <v>74789</v>
      </c>
      <c r="N36" s="2" t="s">
        <v>20</v>
      </c>
      <c r="O36" s="2">
        <v>8101</v>
      </c>
      <c r="P36" s="2" t="s">
        <v>43</v>
      </c>
      <c r="Q36" s="2">
        <v>14</v>
      </c>
      <c r="R36" s="2">
        <v>4</v>
      </c>
      <c r="S36" s="2" t="s">
        <v>31</v>
      </c>
      <c r="T36" s="2" t="s">
        <v>44</v>
      </c>
      <c r="U36" s="2" t="s">
        <v>30</v>
      </c>
    </row>
    <row r="37" spans="1:21" ht="21">
      <c r="A37" s="2">
        <v>8445</v>
      </c>
      <c r="B37" s="2" t="s">
        <v>149</v>
      </c>
      <c r="C37" s="2" t="s">
        <v>108</v>
      </c>
      <c r="D37" s="4">
        <v>24</v>
      </c>
      <c r="E37" s="2" t="s">
        <v>105</v>
      </c>
      <c r="F37" s="2" t="s">
        <v>139</v>
      </c>
      <c r="G37" s="2" t="s">
        <v>15</v>
      </c>
      <c r="H37" s="2" t="s">
        <v>39</v>
      </c>
      <c r="I37" s="2" t="s">
        <v>82</v>
      </c>
      <c r="J37" s="5">
        <v>42725</v>
      </c>
      <c r="K37" s="2" t="s">
        <v>18</v>
      </c>
      <c r="L37" s="3" t="s">
        <v>35</v>
      </c>
      <c r="M37" s="2">
        <v>30137</v>
      </c>
      <c r="N37" s="2" t="s">
        <v>29</v>
      </c>
      <c r="O37" s="2">
        <v>4031</v>
      </c>
      <c r="P37" s="2" t="s">
        <v>30</v>
      </c>
      <c r="Q37" s="2">
        <v>5</v>
      </c>
      <c r="R37" s="2">
        <v>3</v>
      </c>
      <c r="S37" s="2" t="s">
        <v>30</v>
      </c>
      <c r="T37" s="2" t="s">
        <v>37</v>
      </c>
      <c r="U37" s="2" t="s">
        <v>24</v>
      </c>
    </row>
    <row r="38" spans="1:21" ht="21">
      <c r="A38" s="2">
        <v>1550</v>
      </c>
      <c r="B38" s="2" t="s">
        <v>150</v>
      </c>
      <c r="C38" s="2" t="s">
        <v>104</v>
      </c>
      <c r="D38" s="4">
        <v>21</v>
      </c>
      <c r="E38" s="2" t="s">
        <v>105</v>
      </c>
      <c r="F38" s="2" t="s">
        <v>139</v>
      </c>
      <c r="G38" s="2" t="s">
        <v>15</v>
      </c>
      <c r="H38" s="2" t="s">
        <v>16</v>
      </c>
      <c r="I38" s="2" t="s">
        <v>83</v>
      </c>
      <c r="J38" s="5">
        <v>43643</v>
      </c>
      <c r="K38" s="2" t="s">
        <v>18</v>
      </c>
      <c r="L38" s="3" t="s">
        <v>35</v>
      </c>
      <c r="M38" s="2">
        <v>95510</v>
      </c>
      <c r="N38" s="2" t="s">
        <v>20</v>
      </c>
      <c r="O38" s="2">
        <v>6811</v>
      </c>
      <c r="P38" s="2" t="s">
        <v>21</v>
      </c>
      <c r="Q38" s="2">
        <v>18</v>
      </c>
      <c r="R38" s="2">
        <v>5</v>
      </c>
      <c r="S38" s="2" t="s">
        <v>31</v>
      </c>
      <c r="T38" s="2" t="s">
        <v>56</v>
      </c>
      <c r="U38" s="2" t="s">
        <v>24</v>
      </c>
    </row>
    <row r="39" spans="1:21" ht="21">
      <c r="A39" s="2">
        <v>9968</v>
      </c>
      <c r="B39" s="2" t="s">
        <v>151</v>
      </c>
      <c r="C39" s="2" t="s">
        <v>108</v>
      </c>
      <c r="D39" s="4">
        <v>58</v>
      </c>
      <c r="E39" s="2" t="s">
        <v>114</v>
      </c>
      <c r="F39" s="2" t="s">
        <v>152</v>
      </c>
      <c r="G39" s="2" t="s">
        <v>46</v>
      </c>
      <c r="H39" s="2" t="s">
        <v>16</v>
      </c>
      <c r="I39" s="2" t="s">
        <v>84</v>
      </c>
      <c r="J39" s="5">
        <v>44435</v>
      </c>
      <c r="K39" s="2" t="s">
        <v>41</v>
      </c>
      <c r="L39" s="3" t="s">
        <v>19</v>
      </c>
      <c r="M39" s="2">
        <v>80325</v>
      </c>
      <c r="N39" s="2" t="s">
        <v>29</v>
      </c>
      <c r="O39" s="2">
        <v>6230</v>
      </c>
      <c r="P39" s="2" t="s">
        <v>21</v>
      </c>
      <c r="Q39" s="2">
        <v>5</v>
      </c>
      <c r="R39" s="2">
        <v>4</v>
      </c>
      <c r="S39" s="2" t="s">
        <v>30</v>
      </c>
      <c r="T39" s="2" t="s">
        <v>44</v>
      </c>
      <c r="U39" s="2" t="s">
        <v>38</v>
      </c>
    </row>
    <row r="40" spans="1:21" ht="21">
      <c r="A40" s="2">
        <v>8029</v>
      </c>
      <c r="B40" s="2" t="s">
        <v>153</v>
      </c>
      <c r="C40" s="2" t="s">
        <v>104</v>
      </c>
      <c r="D40" s="4">
        <v>57</v>
      </c>
      <c r="E40" s="2" t="s">
        <v>114</v>
      </c>
      <c r="F40" s="2" t="s">
        <v>152</v>
      </c>
      <c r="G40" s="2" t="s">
        <v>65</v>
      </c>
      <c r="H40" s="2" t="s">
        <v>50</v>
      </c>
      <c r="I40" s="2" t="s">
        <v>85</v>
      </c>
      <c r="J40" s="5">
        <v>42883</v>
      </c>
      <c r="K40" s="2" t="s">
        <v>61</v>
      </c>
      <c r="L40" s="3" t="s">
        <v>28</v>
      </c>
      <c r="M40" s="2">
        <v>34109</v>
      </c>
      <c r="N40" s="2" t="s">
        <v>29</v>
      </c>
      <c r="O40" s="2">
        <v>9232</v>
      </c>
      <c r="P40" s="2" t="s">
        <v>21</v>
      </c>
      <c r="Q40" s="2">
        <v>13</v>
      </c>
      <c r="R40" s="2">
        <v>2</v>
      </c>
      <c r="S40" s="2" t="s">
        <v>22</v>
      </c>
      <c r="T40" s="2" t="s">
        <v>23</v>
      </c>
      <c r="U40" s="2" t="s">
        <v>24</v>
      </c>
    </row>
    <row r="41" spans="1:21" ht="21">
      <c r="A41" s="2">
        <v>8847</v>
      </c>
      <c r="B41" s="2" t="s">
        <v>154</v>
      </c>
      <c r="C41" s="2" t="s">
        <v>108</v>
      </c>
      <c r="D41" s="4">
        <v>41</v>
      </c>
      <c r="E41" s="2" t="s">
        <v>112</v>
      </c>
      <c r="F41" s="2" t="s">
        <v>152</v>
      </c>
      <c r="G41" s="2" t="s">
        <v>46</v>
      </c>
      <c r="H41" s="2" t="s">
        <v>16</v>
      </c>
      <c r="I41" s="2" t="s">
        <v>86</v>
      </c>
      <c r="J41" s="5">
        <v>44591</v>
      </c>
      <c r="K41" s="2" t="s">
        <v>61</v>
      </c>
      <c r="L41" s="3" t="s">
        <v>35</v>
      </c>
      <c r="M41" s="2">
        <v>73330</v>
      </c>
      <c r="N41" s="2" t="s">
        <v>20</v>
      </c>
      <c r="O41" s="2">
        <v>2276</v>
      </c>
      <c r="P41" s="2" t="s">
        <v>43</v>
      </c>
      <c r="Q41" s="2">
        <v>5</v>
      </c>
      <c r="R41" s="2">
        <v>3</v>
      </c>
      <c r="S41" s="2" t="s">
        <v>30</v>
      </c>
      <c r="T41" s="2" t="s">
        <v>37</v>
      </c>
      <c r="U41" s="2" t="s">
        <v>38</v>
      </c>
    </row>
    <row r="42" spans="1:21" ht="21">
      <c r="A42" s="2">
        <v>1955</v>
      </c>
      <c r="B42" s="2" t="s">
        <v>155</v>
      </c>
      <c r="C42" s="2" t="s">
        <v>104</v>
      </c>
      <c r="D42" s="4">
        <v>58</v>
      </c>
      <c r="E42" s="2" t="s">
        <v>114</v>
      </c>
      <c r="F42" s="2" t="s">
        <v>152</v>
      </c>
      <c r="G42" s="2" t="s">
        <v>32</v>
      </c>
      <c r="H42" s="2" t="s">
        <v>26</v>
      </c>
      <c r="I42" s="2" t="s">
        <v>87</v>
      </c>
      <c r="J42" s="5">
        <v>42845</v>
      </c>
      <c r="K42" s="2" t="s">
        <v>41</v>
      </c>
      <c r="L42" s="3" t="s">
        <v>35</v>
      </c>
      <c r="M42" s="2">
        <v>46567</v>
      </c>
      <c r="N42" s="2" t="s">
        <v>42</v>
      </c>
      <c r="O42" s="2">
        <v>2825</v>
      </c>
      <c r="P42" s="2" t="s">
        <v>21</v>
      </c>
      <c r="Q42" s="2">
        <v>15</v>
      </c>
      <c r="R42" s="2">
        <v>4</v>
      </c>
      <c r="S42" s="2" t="s">
        <v>30</v>
      </c>
      <c r="T42" s="2" t="s">
        <v>56</v>
      </c>
      <c r="U42" s="2" t="s">
        <v>38</v>
      </c>
    </row>
    <row r="43" spans="1:21" ht="21">
      <c r="A43" s="2">
        <v>4522</v>
      </c>
      <c r="B43" s="2" t="s">
        <v>156</v>
      </c>
      <c r="C43" s="2" t="s">
        <v>108</v>
      </c>
      <c r="D43" s="4">
        <v>36</v>
      </c>
      <c r="E43" s="2" t="s">
        <v>112</v>
      </c>
      <c r="F43" s="2" t="s">
        <v>152</v>
      </c>
      <c r="G43" s="2" t="s">
        <v>65</v>
      </c>
      <c r="H43" s="2" t="s">
        <v>16</v>
      </c>
      <c r="I43" s="2" t="s">
        <v>88</v>
      </c>
      <c r="J43" s="5">
        <v>43668</v>
      </c>
      <c r="K43" s="2" t="s">
        <v>41</v>
      </c>
      <c r="L43" s="3" t="s">
        <v>28</v>
      </c>
      <c r="M43" s="2">
        <v>39795</v>
      </c>
      <c r="N43" s="2" t="s">
        <v>42</v>
      </c>
      <c r="O43" s="2">
        <v>1670</v>
      </c>
      <c r="P43" s="2" t="s">
        <v>30</v>
      </c>
      <c r="Q43" s="2">
        <v>0</v>
      </c>
      <c r="R43" s="2">
        <v>5</v>
      </c>
      <c r="S43" s="2" t="s">
        <v>31</v>
      </c>
      <c r="T43" s="2" t="s">
        <v>48</v>
      </c>
      <c r="U43" s="2" t="s">
        <v>30</v>
      </c>
    </row>
    <row r="44" spans="1:21" ht="21">
      <c r="A44" s="2">
        <v>3078</v>
      </c>
      <c r="B44" s="2" t="s">
        <v>157</v>
      </c>
      <c r="C44" s="2" t="s">
        <v>104</v>
      </c>
      <c r="D44" s="4">
        <v>21</v>
      </c>
      <c r="E44" s="2" t="s">
        <v>105</v>
      </c>
      <c r="F44" s="2" t="s">
        <v>152</v>
      </c>
      <c r="G44" s="2" t="s">
        <v>15</v>
      </c>
      <c r="H44" s="2" t="s">
        <v>50</v>
      </c>
      <c r="I44" s="2" t="s">
        <v>89</v>
      </c>
      <c r="J44" s="5">
        <v>43433</v>
      </c>
      <c r="K44" s="2" t="s">
        <v>41</v>
      </c>
      <c r="L44" s="3" t="s">
        <v>35</v>
      </c>
      <c r="M44" s="2">
        <v>59506</v>
      </c>
      <c r="N44" s="2" t="s">
        <v>42</v>
      </c>
      <c r="O44" s="2">
        <v>4428</v>
      </c>
      <c r="P44" s="2" t="s">
        <v>43</v>
      </c>
      <c r="Q44" s="2">
        <v>0</v>
      </c>
      <c r="R44" s="2">
        <v>3</v>
      </c>
      <c r="S44" s="2" t="s">
        <v>30</v>
      </c>
      <c r="T44" s="2" t="s">
        <v>48</v>
      </c>
      <c r="U44" s="2" t="s">
        <v>24</v>
      </c>
    </row>
    <row r="45" spans="1:21" ht="21">
      <c r="A45" s="2">
        <v>6357</v>
      </c>
      <c r="B45" s="2" t="s">
        <v>158</v>
      </c>
      <c r="C45" s="2" t="s">
        <v>108</v>
      </c>
      <c r="D45" s="4">
        <v>46</v>
      </c>
      <c r="E45" s="2" t="s">
        <v>124</v>
      </c>
      <c r="F45" s="2" t="s">
        <v>152</v>
      </c>
      <c r="G45" s="2" t="s">
        <v>25</v>
      </c>
      <c r="H45" s="2" t="s">
        <v>50</v>
      </c>
      <c r="I45" s="2" t="s">
        <v>90</v>
      </c>
      <c r="J45" s="5">
        <v>44879</v>
      </c>
      <c r="K45" s="2" t="s">
        <v>41</v>
      </c>
      <c r="L45" s="3" t="s">
        <v>35</v>
      </c>
      <c r="M45" s="2">
        <v>49058</v>
      </c>
      <c r="N45" s="2" t="s">
        <v>29</v>
      </c>
      <c r="O45" s="2">
        <v>4396</v>
      </c>
      <c r="P45" s="2" t="s">
        <v>30</v>
      </c>
      <c r="Q45" s="2">
        <v>5</v>
      </c>
      <c r="R45" s="2">
        <v>4</v>
      </c>
      <c r="S45" s="2" t="s">
        <v>30</v>
      </c>
      <c r="T45" s="2" t="s">
        <v>48</v>
      </c>
      <c r="U45" s="2" t="s">
        <v>30</v>
      </c>
    </row>
    <row r="46" spans="1:21" ht="21">
      <c r="A46" s="2">
        <v>7951</v>
      </c>
      <c r="B46" s="2" t="s">
        <v>159</v>
      </c>
      <c r="C46" s="2" t="s">
        <v>104</v>
      </c>
      <c r="D46" s="4">
        <v>36</v>
      </c>
      <c r="E46" s="2" t="s">
        <v>112</v>
      </c>
      <c r="F46" s="2" t="s">
        <v>152</v>
      </c>
      <c r="G46" s="2" t="s">
        <v>32</v>
      </c>
      <c r="H46" s="2" t="s">
        <v>50</v>
      </c>
      <c r="I46" s="2" t="s">
        <v>91</v>
      </c>
      <c r="J46" s="5">
        <v>42423</v>
      </c>
      <c r="K46" s="2" t="s">
        <v>41</v>
      </c>
      <c r="L46" s="3" t="s">
        <v>19</v>
      </c>
      <c r="M46" s="2">
        <v>98612</v>
      </c>
      <c r="N46" s="2" t="s">
        <v>42</v>
      </c>
      <c r="O46" s="2">
        <v>1168</v>
      </c>
      <c r="P46" s="2" t="s">
        <v>30</v>
      </c>
      <c r="Q46" s="2">
        <v>9</v>
      </c>
      <c r="R46" s="2">
        <v>2</v>
      </c>
      <c r="S46" s="2" t="s">
        <v>31</v>
      </c>
      <c r="T46" s="2" t="s">
        <v>23</v>
      </c>
      <c r="U46" s="2" t="s">
        <v>24</v>
      </c>
    </row>
    <row r="47" spans="1:21" ht="21">
      <c r="A47" s="2">
        <v>9228</v>
      </c>
      <c r="B47" s="2" t="s">
        <v>160</v>
      </c>
      <c r="C47" s="2" t="s">
        <v>104</v>
      </c>
      <c r="D47" s="4">
        <v>41</v>
      </c>
      <c r="E47" s="2" t="s">
        <v>112</v>
      </c>
      <c r="F47" s="2" t="s">
        <v>152</v>
      </c>
      <c r="G47" s="2" t="s">
        <v>46</v>
      </c>
      <c r="H47" s="2" t="s">
        <v>26</v>
      </c>
      <c r="I47" s="2" t="s">
        <v>92</v>
      </c>
      <c r="J47" s="5">
        <v>43238</v>
      </c>
      <c r="K47" s="2" t="s">
        <v>61</v>
      </c>
      <c r="L47" s="3" t="s">
        <v>28</v>
      </c>
      <c r="M47" s="2">
        <v>38201</v>
      </c>
      <c r="N47" s="2" t="s">
        <v>42</v>
      </c>
      <c r="O47" s="2">
        <v>7111</v>
      </c>
      <c r="P47" s="2" t="s">
        <v>21</v>
      </c>
      <c r="Q47" s="2">
        <v>8</v>
      </c>
      <c r="R47" s="2">
        <v>5</v>
      </c>
      <c r="S47" s="2" t="s">
        <v>22</v>
      </c>
      <c r="T47" s="2" t="s">
        <v>48</v>
      </c>
      <c r="U47" s="2" t="s">
        <v>30</v>
      </c>
    </row>
    <row r="48" spans="1:21" ht="21">
      <c r="A48" s="2">
        <v>8988</v>
      </c>
      <c r="B48" s="2" t="s">
        <v>161</v>
      </c>
      <c r="C48" s="2" t="s">
        <v>108</v>
      </c>
      <c r="D48" s="4">
        <v>25</v>
      </c>
      <c r="E48" s="2" t="s">
        <v>105</v>
      </c>
      <c r="F48" s="2" t="s">
        <v>152</v>
      </c>
      <c r="G48" s="2" t="s">
        <v>32</v>
      </c>
      <c r="H48" s="2" t="s">
        <v>33</v>
      </c>
      <c r="I48" s="2" t="s">
        <v>93</v>
      </c>
      <c r="J48" s="5">
        <v>45360</v>
      </c>
      <c r="K48" s="2" t="s">
        <v>61</v>
      </c>
      <c r="L48" s="3" t="s">
        <v>28</v>
      </c>
      <c r="M48" s="2">
        <v>92919</v>
      </c>
      <c r="N48" s="2" t="s">
        <v>36</v>
      </c>
      <c r="O48" s="2">
        <v>9497</v>
      </c>
      <c r="P48" s="2" t="s">
        <v>21</v>
      </c>
      <c r="Q48" s="2">
        <v>7</v>
      </c>
      <c r="R48" s="2">
        <v>3</v>
      </c>
      <c r="S48" s="2" t="s">
        <v>30</v>
      </c>
      <c r="T48" s="2" t="s">
        <v>48</v>
      </c>
      <c r="U48" s="2" t="s">
        <v>38</v>
      </c>
    </row>
    <row r="49" spans="1:21" ht="21">
      <c r="A49" s="2">
        <v>1952</v>
      </c>
      <c r="B49" s="2" t="s">
        <v>162</v>
      </c>
      <c r="C49" s="2" t="s">
        <v>104</v>
      </c>
      <c r="D49" s="4">
        <v>29</v>
      </c>
      <c r="E49" s="2" t="s">
        <v>109</v>
      </c>
      <c r="F49" s="2" t="s">
        <v>152</v>
      </c>
      <c r="G49" s="2" t="s">
        <v>15</v>
      </c>
      <c r="H49" s="2" t="s">
        <v>26</v>
      </c>
      <c r="I49" s="2" t="s">
        <v>94</v>
      </c>
      <c r="J49" s="5">
        <v>45378</v>
      </c>
      <c r="K49" s="2" t="s">
        <v>18</v>
      </c>
      <c r="L49" s="3" t="s">
        <v>35</v>
      </c>
      <c r="M49" s="2">
        <v>45188</v>
      </c>
      <c r="N49" s="2" t="s">
        <v>42</v>
      </c>
      <c r="O49" s="2">
        <v>9591</v>
      </c>
      <c r="P49" s="2" t="s">
        <v>43</v>
      </c>
      <c r="Q49" s="2">
        <v>18</v>
      </c>
      <c r="R49" s="2">
        <v>4</v>
      </c>
      <c r="S49" s="2" t="s">
        <v>22</v>
      </c>
      <c r="T49" s="2" t="s">
        <v>48</v>
      </c>
      <c r="U49" s="2" t="s">
        <v>30</v>
      </c>
    </row>
    <row r="50" spans="1:21" ht="21">
      <c r="A50" s="2">
        <v>5760</v>
      </c>
      <c r="B50" s="2" t="s">
        <v>163</v>
      </c>
      <c r="C50" s="2" t="s">
        <v>108</v>
      </c>
      <c r="D50" s="4">
        <v>59</v>
      </c>
      <c r="E50" s="2" t="s">
        <v>114</v>
      </c>
      <c r="F50" s="2" t="s">
        <v>152</v>
      </c>
      <c r="G50" s="2" t="s">
        <v>25</v>
      </c>
      <c r="H50" s="2" t="s">
        <v>16</v>
      </c>
      <c r="I50" s="2" t="s">
        <v>95</v>
      </c>
      <c r="J50" s="5">
        <v>43822</v>
      </c>
      <c r="K50" s="2" t="s">
        <v>18</v>
      </c>
      <c r="L50" s="3" t="s">
        <v>28</v>
      </c>
      <c r="M50" s="2">
        <v>34927</v>
      </c>
      <c r="N50" s="2" t="s">
        <v>36</v>
      </c>
      <c r="O50" s="2">
        <v>6996</v>
      </c>
      <c r="P50" s="2" t="s">
        <v>43</v>
      </c>
      <c r="Q50" s="2">
        <v>16</v>
      </c>
      <c r="R50" s="2">
        <v>5</v>
      </c>
      <c r="S50" s="2" t="s">
        <v>31</v>
      </c>
      <c r="T50" s="2" t="s">
        <v>23</v>
      </c>
      <c r="U50" s="2" t="s">
        <v>24</v>
      </c>
    </row>
    <row r="51" spans="1:21" ht="21">
      <c r="A51" s="2">
        <v>5742</v>
      </c>
      <c r="B51" s="2" t="s">
        <v>164</v>
      </c>
      <c r="C51" s="2" t="s">
        <v>108</v>
      </c>
      <c r="D51" s="4">
        <v>27</v>
      </c>
      <c r="E51" s="2" t="s">
        <v>109</v>
      </c>
      <c r="F51" s="2" t="s">
        <v>152</v>
      </c>
      <c r="G51" s="2" t="s">
        <v>32</v>
      </c>
      <c r="H51" s="2" t="s">
        <v>39</v>
      </c>
      <c r="I51" s="2" t="s">
        <v>96</v>
      </c>
      <c r="J51" s="5">
        <v>42607</v>
      </c>
      <c r="K51" s="2" t="s">
        <v>18</v>
      </c>
      <c r="L51" s="3" t="s">
        <v>28</v>
      </c>
      <c r="M51" s="2">
        <v>33183</v>
      </c>
      <c r="N51" s="2" t="s">
        <v>42</v>
      </c>
      <c r="O51" s="2">
        <v>1659</v>
      </c>
      <c r="P51" s="2" t="s">
        <v>30</v>
      </c>
      <c r="Q51" s="2">
        <v>11</v>
      </c>
      <c r="R51" s="2">
        <v>2</v>
      </c>
      <c r="S51" s="2" t="s">
        <v>22</v>
      </c>
      <c r="T51" s="2" t="s">
        <v>44</v>
      </c>
      <c r="U51" s="2" t="s">
        <v>30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Y24"/>
  <sheetViews>
    <sheetView zoomScale="55" zoomScaleNormal="55" workbookViewId="0">
      <selection activeCell="V19" sqref="V19"/>
    </sheetView>
  </sheetViews>
  <sheetFormatPr defaultRowHeight="14.5"/>
  <cols>
    <col min="1" max="1" width="3.54296875" customWidth="1"/>
    <col min="2" max="2" width="12.36328125" customWidth="1"/>
    <col min="3" max="3" width="17" customWidth="1"/>
    <col min="4" max="4" width="17.453125" customWidth="1"/>
    <col min="5" max="5" width="3.54296875" customWidth="1"/>
    <col min="6" max="6" width="12.36328125" customWidth="1"/>
    <col min="7" max="7" width="12.08984375" customWidth="1"/>
    <col min="8" max="8" width="17.54296875" customWidth="1"/>
    <col min="9" max="9" width="3.54296875" customWidth="1"/>
    <col min="10" max="10" width="17" customWidth="1"/>
    <col min="11" max="11" width="15.26953125" customWidth="1"/>
    <col min="12" max="12" width="5" customWidth="1"/>
    <col min="13" max="13" width="10.7265625" customWidth="1"/>
    <col min="14" max="14" width="3.54296875" customWidth="1"/>
    <col min="15" max="15" width="12.36328125" customWidth="1"/>
    <col min="16" max="16" width="17" customWidth="1"/>
    <col min="17" max="17" width="3.7265625" customWidth="1"/>
    <col min="18" max="18" width="14.08984375" customWidth="1"/>
    <col min="19" max="19" width="17" customWidth="1"/>
    <col min="20" max="20" width="3.54296875" customWidth="1"/>
    <col min="21" max="21" width="12.36328125" customWidth="1"/>
    <col min="22" max="22" width="17" customWidth="1"/>
    <col min="23" max="23" width="3.54296875" customWidth="1"/>
    <col min="24" max="24" width="12.36328125" customWidth="1"/>
    <col min="25" max="25" width="33.54296875" customWidth="1"/>
  </cols>
  <sheetData>
    <row r="2" spans="2:25" ht="21" customHeight="1">
      <c r="B2" s="24" t="s">
        <v>168</v>
      </c>
      <c r="C2" s="24"/>
      <c r="D2" s="24"/>
      <c r="F2" s="24" t="s">
        <v>171</v>
      </c>
      <c r="G2" s="24"/>
      <c r="H2" s="24"/>
      <c r="J2" s="24" t="s">
        <v>173</v>
      </c>
      <c r="K2" s="24"/>
      <c r="L2" s="24"/>
      <c r="M2" s="24"/>
      <c r="O2" s="24" t="s">
        <v>174</v>
      </c>
      <c r="P2" s="24"/>
      <c r="R2" s="24" t="s">
        <v>13</v>
      </c>
      <c r="S2" s="24"/>
      <c r="U2" s="24" t="s">
        <v>177</v>
      </c>
      <c r="V2" s="24"/>
      <c r="X2" s="24" t="s">
        <v>178</v>
      </c>
      <c r="Y2" s="24"/>
    </row>
    <row r="3" spans="2:25" ht="21" customHeight="1">
      <c r="B3" s="13"/>
      <c r="C3" s="13"/>
      <c r="D3" s="13"/>
    </row>
    <row r="4" spans="2:25">
      <c r="B4" s="10" t="s">
        <v>165</v>
      </c>
      <c r="C4" t="s">
        <v>167</v>
      </c>
      <c r="F4" s="10" t="s">
        <v>165</v>
      </c>
      <c r="G4" t="s">
        <v>170</v>
      </c>
      <c r="H4" t="s">
        <v>176</v>
      </c>
      <c r="J4" s="10" t="s">
        <v>167</v>
      </c>
      <c r="K4" s="10" t="s">
        <v>172</v>
      </c>
      <c r="O4" s="10" t="s">
        <v>165</v>
      </c>
      <c r="P4" t="s">
        <v>167</v>
      </c>
      <c r="R4" s="10" t="s">
        <v>165</v>
      </c>
      <c r="S4" t="s">
        <v>167</v>
      </c>
      <c r="U4" s="10" t="s">
        <v>165</v>
      </c>
      <c r="V4" t="s">
        <v>167</v>
      </c>
      <c r="X4" s="10" t="s">
        <v>165</v>
      </c>
      <c r="Y4" t="s">
        <v>179</v>
      </c>
    </row>
    <row r="5" spans="2:25">
      <c r="B5" s="11" t="s">
        <v>41</v>
      </c>
      <c r="C5" s="12">
        <v>17</v>
      </c>
      <c r="F5" s="11" t="s">
        <v>65</v>
      </c>
      <c r="G5" s="14">
        <v>167041</v>
      </c>
      <c r="H5" s="14">
        <v>28</v>
      </c>
      <c r="J5" s="10" t="s">
        <v>165</v>
      </c>
      <c r="K5" t="s">
        <v>108</v>
      </c>
      <c r="L5" t="s">
        <v>104</v>
      </c>
      <c r="M5" t="s">
        <v>166</v>
      </c>
      <c r="O5" s="11" t="s">
        <v>28</v>
      </c>
      <c r="P5" s="12">
        <v>23</v>
      </c>
      <c r="R5" s="11" t="s">
        <v>48</v>
      </c>
      <c r="S5" s="12">
        <v>12</v>
      </c>
      <c r="U5" s="11" t="s">
        <v>152</v>
      </c>
      <c r="V5" s="12">
        <v>13</v>
      </c>
      <c r="X5" s="11" t="s">
        <v>16</v>
      </c>
      <c r="Y5" s="12">
        <v>4</v>
      </c>
    </row>
    <row r="6" spans="2:25">
      <c r="B6" s="11" t="s">
        <v>18</v>
      </c>
      <c r="C6" s="12">
        <v>20</v>
      </c>
      <c r="F6" s="11" t="s">
        <v>25</v>
      </c>
      <c r="G6" s="14">
        <v>613842</v>
      </c>
      <c r="H6" s="14">
        <v>110</v>
      </c>
      <c r="J6" s="11" t="s">
        <v>105</v>
      </c>
      <c r="K6" s="12">
        <v>5</v>
      </c>
      <c r="L6" s="12">
        <v>4</v>
      </c>
      <c r="M6" s="12">
        <v>9</v>
      </c>
      <c r="O6" s="11" t="s">
        <v>19</v>
      </c>
      <c r="P6" s="12">
        <v>8</v>
      </c>
      <c r="R6" s="11" t="s">
        <v>23</v>
      </c>
      <c r="S6" s="12">
        <v>11</v>
      </c>
      <c r="U6" s="11" t="s">
        <v>139</v>
      </c>
      <c r="V6" s="12">
        <v>12</v>
      </c>
      <c r="X6" s="11" t="s">
        <v>26</v>
      </c>
      <c r="Y6" s="12">
        <v>3.8</v>
      </c>
    </row>
    <row r="7" spans="2:25">
      <c r="B7" s="11" t="s">
        <v>61</v>
      </c>
      <c r="C7" s="12">
        <v>13</v>
      </c>
      <c r="F7" s="11" t="s">
        <v>46</v>
      </c>
      <c r="G7" s="14">
        <v>633594</v>
      </c>
      <c r="H7" s="14">
        <v>104</v>
      </c>
      <c r="J7" s="11" t="s">
        <v>109</v>
      </c>
      <c r="K7" s="12">
        <v>5</v>
      </c>
      <c r="L7" s="12">
        <v>8</v>
      </c>
      <c r="M7" s="12">
        <v>13</v>
      </c>
      <c r="O7" s="11" t="s">
        <v>35</v>
      </c>
      <c r="P7" s="12">
        <v>19</v>
      </c>
      <c r="R7" s="11" t="s">
        <v>56</v>
      </c>
      <c r="S7" s="12">
        <v>7</v>
      </c>
      <c r="U7" s="11" t="s">
        <v>131</v>
      </c>
      <c r="V7" s="12">
        <v>7</v>
      </c>
      <c r="X7" s="11" t="s">
        <v>50</v>
      </c>
      <c r="Y7" s="12">
        <v>3.5</v>
      </c>
    </row>
    <row r="8" spans="2:25">
      <c r="B8" s="11" t="s">
        <v>166</v>
      </c>
      <c r="C8" s="12">
        <v>50</v>
      </c>
      <c r="F8" s="11" t="s">
        <v>32</v>
      </c>
      <c r="G8" s="14">
        <v>959266</v>
      </c>
      <c r="H8" s="14">
        <v>123</v>
      </c>
      <c r="J8" s="11" t="s">
        <v>112</v>
      </c>
      <c r="K8" s="12">
        <v>7</v>
      </c>
      <c r="L8" s="12">
        <v>5</v>
      </c>
      <c r="M8" s="12">
        <v>12</v>
      </c>
      <c r="O8" s="11" t="s">
        <v>166</v>
      </c>
      <c r="P8" s="12">
        <v>50</v>
      </c>
      <c r="R8" s="11" t="s">
        <v>37</v>
      </c>
      <c r="S8" s="12">
        <v>11</v>
      </c>
      <c r="U8" s="11" t="s">
        <v>106</v>
      </c>
      <c r="V8" s="12">
        <v>8</v>
      </c>
      <c r="X8" s="11" t="s">
        <v>33</v>
      </c>
      <c r="Y8" s="21">
        <v>3.5454545454545454</v>
      </c>
    </row>
    <row r="9" spans="2:25">
      <c r="F9" s="11" t="s">
        <v>15</v>
      </c>
      <c r="G9" s="14">
        <v>731170</v>
      </c>
      <c r="H9" s="14">
        <v>122</v>
      </c>
      <c r="J9" s="11" t="s">
        <v>124</v>
      </c>
      <c r="K9" s="12">
        <v>4</v>
      </c>
      <c r="L9" s="12">
        <v>3</v>
      </c>
      <c r="M9" s="12">
        <v>7</v>
      </c>
      <c r="R9" s="11" t="s">
        <v>44</v>
      </c>
      <c r="S9" s="12">
        <v>9</v>
      </c>
      <c r="U9" s="11" t="s">
        <v>119</v>
      </c>
      <c r="V9" s="12">
        <v>10</v>
      </c>
      <c r="X9" s="11" t="s">
        <v>39</v>
      </c>
      <c r="Y9" s="21">
        <v>2.5555555555555554</v>
      </c>
    </row>
    <row r="10" spans="2:25">
      <c r="F10" s="11" t="s">
        <v>166</v>
      </c>
      <c r="G10" s="12">
        <v>3104913</v>
      </c>
      <c r="H10" s="12">
        <v>487</v>
      </c>
      <c r="J10" s="11" t="s">
        <v>114</v>
      </c>
      <c r="K10" s="12">
        <v>4</v>
      </c>
      <c r="L10" s="12">
        <v>5</v>
      </c>
      <c r="M10" s="12">
        <v>9</v>
      </c>
      <c r="R10" s="11" t="s">
        <v>166</v>
      </c>
      <c r="S10" s="12">
        <v>50</v>
      </c>
      <c r="U10" s="11" t="s">
        <v>166</v>
      </c>
      <c r="V10" s="12">
        <v>50</v>
      </c>
      <c r="X10" s="11" t="s">
        <v>166</v>
      </c>
      <c r="Y10" s="12">
        <v>3.52</v>
      </c>
    </row>
    <row r="11" spans="2:25">
      <c r="B11" s="11" t="s">
        <v>41</v>
      </c>
      <c r="C11">
        <f>IFERROR(GETPIVOTDATA("Full Name",$B$4,"Employment Status","Contract"),"0")</f>
        <v>17</v>
      </c>
      <c r="J11" s="11" t="s">
        <v>166</v>
      </c>
      <c r="K11" s="12">
        <v>25</v>
      </c>
      <c r="L11" s="12">
        <v>25</v>
      </c>
      <c r="M11" s="12">
        <v>50</v>
      </c>
      <c r="O11" s="11" t="s">
        <v>28</v>
      </c>
      <c r="P11">
        <f>IFERROR(GETPIVOTDATA("Full Name",$O$4,"Work Location","Branch Office"),"0")</f>
        <v>23</v>
      </c>
    </row>
    <row r="12" spans="2:25">
      <c r="B12" s="11" t="s">
        <v>18</v>
      </c>
      <c r="C12">
        <f>IFERROR(GETPIVOTDATA("Full Name",$B$4,"Employment Status","Full-Time"),"0")</f>
        <v>20</v>
      </c>
      <c r="O12" s="11" t="s">
        <v>19</v>
      </c>
      <c r="P12">
        <f>IFERROR(GETPIVOTDATA("Full Name",$O$4,"Work Location","Head Office"),"0")</f>
        <v>8</v>
      </c>
    </row>
    <row r="13" spans="2:25">
      <c r="B13" s="11" t="s">
        <v>61</v>
      </c>
      <c r="C13">
        <f>IFERROR(GETPIVOTDATA("Full Name",$B$4,"Employment Status","Part-Time"),"0")</f>
        <v>13</v>
      </c>
      <c r="F13" s="11" t="s">
        <v>65</v>
      </c>
      <c r="G13" s="15">
        <f>IFERROR(GETPIVOTDATA("Salary",$F$4,"Job Title","Analyst"),"0")</f>
        <v>167041</v>
      </c>
      <c r="H13" s="15">
        <f>IFERROR(GETPIVOTDATA("Sum of Leave Taken",$F$4,"Job Title","Analyst"),"0")</f>
        <v>28</v>
      </c>
      <c r="J13" s="11" t="s">
        <v>105</v>
      </c>
      <c r="K13">
        <f>IFERROR(GETPIVOTDATA("Full Name",$J$4,"Age range","18-25"),"0")</f>
        <v>9</v>
      </c>
      <c r="O13" s="11" t="s">
        <v>35</v>
      </c>
      <c r="P13">
        <f>IFERROR(GETPIVOTDATA("Full Name",$O$4,"Work Location","Remote"),"0")</f>
        <v>19</v>
      </c>
      <c r="R13" s="11" t="s">
        <v>48</v>
      </c>
      <c r="S13">
        <f>IFERROR(GETPIVOTDATA("Full Name",$R$4,"Skills","Communication"),"0")</f>
        <v>12</v>
      </c>
      <c r="U13" s="11" t="s">
        <v>152</v>
      </c>
      <c r="V13">
        <f>IFERROR(GETPIVOTDATA("Full Name",$U$4,"Region","AJK"),"0")</f>
        <v>13</v>
      </c>
      <c r="X13" s="11" t="s">
        <v>16</v>
      </c>
      <c r="Y13">
        <f>IFERROR(GETPIVOTDATA("Performance Rating",$X$4,"Department","Finance"),"0")</f>
        <v>4</v>
      </c>
    </row>
    <row r="14" spans="2:25">
      <c r="B14" s="11" t="s">
        <v>169</v>
      </c>
      <c r="C14">
        <f>SUM(C11,C12,C13)</f>
        <v>50</v>
      </c>
      <c r="F14" s="11" t="s">
        <v>25</v>
      </c>
      <c r="G14" s="15">
        <f>IFERROR(GETPIVOTDATA("Salary",$F$4,"Job Title","Designer"),"0")</f>
        <v>613842</v>
      </c>
      <c r="H14" s="15">
        <f>IFERROR(GETPIVOTDATA("Sum of Leave Taken",$F$4,"Job Title","Designer"),"0")</f>
        <v>110</v>
      </c>
      <c r="J14" s="11" t="s">
        <v>109</v>
      </c>
      <c r="K14">
        <f>IFERROR(GETPIVOTDATA("Full Name",$J$4,"Age range","26-35"),"0")</f>
        <v>13</v>
      </c>
      <c r="O14" s="11" t="s">
        <v>169</v>
      </c>
      <c r="P14">
        <f>SUM(P11:P13)</f>
        <v>50</v>
      </c>
      <c r="R14" s="11" t="s">
        <v>23</v>
      </c>
      <c r="S14">
        <f>IFERROR(GETPIVOTDATA("Full Name",$R$4,"Skills","Design"),"0")</f>
        <v>11</v>
      </c>
      <c r="U14" s="11" t="s">
        <v>139</v>
      </c>
      <c r="V14">
        <f>IFERROR( GETPIVOTDATA("Full Name",$U$4,"Region","Balochistan"),"0")</f>
        <v>12</v>
      </c>
      <c r="X14" s="11" t="s">
        <v>26</v>
      </c>
      <c r="Y14">
        <f>IFERROR( GETPIVOTDATA("Performance Rating",$X$4,"Department","HR"),"0")</f>
        <v>3.8</v>
      </c>
    </row>
    <row r="15" spans="2:25">
      <c r="F15" s="11" t="s">
        <v>46</v>
      </c>
      <c r="G15" s="15">
        <f>IFERROR(GETPIVOTDATA("Salary",$F$4,"Job Title","Developer"),"0")</f>
        <v>633594</v>
      </c>
      <c r="H15" s="15">
        <f>IFERROR(GETPIVOTDATA("Sum of Leave Taken",$F$4,"Job Title","Developer"),"0")</f>
        <v>104</v>
      </c>
      <c r="J15" s="11" t="s">
        <v>112</v>
      </c>
      <c r="K15">
        <f>IFERROR( GETPIVOTDATA("Full Name",$J$4,"Age range","36-45"),"0")</f>
        <v>12</v>
      </c>
      <c r="R15" s="11" t="s">
        <v>56</v>
      </c>
      <c r="S15">
        <f>IFERROR( GETPIVOTDATA("Full Name",$R$4,"Skills","Excel"),"0")</f>
        <v>7</v>
      </c>
      <c r="U15" s="11" t="s">
        <v>131</v>
      </c>
      <c r="V15">
        <f>IFERROR( GETPIVOTDATA("Full Name",$U$4,"Region","KPK"),"0")</f>
        <v>7</v>
      </c>
      <c r="X15" s="11" t="s">
        <v>50</v>
      </c>
      <c r="Y15">
        <f>IFERROR(GETPIVOTDATA("Performance Rating",$X$4,"Department","IT"),"0")</f>
        <v>3.5</v>
      </c>
    </row>
    <row r="16" spans="2:25">
      <c r="F16" s="11" t="s">
        <v>32</v>
      </c>
      <c r="G16" s="15">
        <f>IFERROR( GETPIVOTDATA("Salary",$F$4,"Job Title","HR Specialist"),"0")</f>
        <v>959266</v>
      </c>
      <c r="H16" s="15">
        <f>IFERROR( GETPIVOTDATA("Sum of Leave Taken",$F$4,"Job Title","HR Specialist"),"0")</f>
        <v>123</v>
      </c>
      <c r="J16" s="11" t="s">
        <v>124</v>
      </c>
      <c r="K16">
        <f>IFERROR(GETPIVOTDATA("Full Name",$J$4,"Age range","46-55"),"0")</f>
        <v>7</v>
      </c>
      <c r="O16" s="16">
        <f>P11/P14</f>
        <v>0.46</v>
      </c>
      <c r="P16" s="17">
        <f>1-O16</f>
        <v>0.54</v>
      </c>
      <c r="R16" s="11" t="s">
        <v>37</v>
      </c>
      <c r="S16">
        <f>IFERROR(GETPIVOTDATA("Full Name",$R$4,"Skills","Management"),"0")</f>
        <v>11</v>
      </c>
      <c r="U16" s="11" t="s">
        <v>106</v>
      </c>
      <c r="V16">
        <f>IFERROR(GETPIVOTDATA("Full Name",$U$4,"Region","Punjab"),"0")</f>
        <v>8</v>
      </c>
      <c r="X16" s="11" t="s">
        <v>33</v>
      </c>
      <c r="Y16" s="21">
        <f>IFERROR(GETPIVOTDATA("Performance Rating",$X$4,"Department","Marketing"),"0")</f>
        <v>3.5454545454545454</v>
      </c>
    </row>
    <row r="17" spans="6:25">
      <c r="F17" s="11" t="s">
        <v>15</v>
      </c>
      <c r="G17" s="15">
        <f>IFERROR(GETPIVOTDATA("Salary",$F$4,"Job Title","Manager"),"0")</f>
        <v>731170</v>
      </c>
      <c r="H17" s="15">
        <f>IFERROR(GETPIVOTDATA("Sum of Leave Taken",$F$4,"Job Title","Manager"),"0")</f>
        <v>122</v>
      </c>
      <c r="J17" s="11" t="s">
        <v>114</v>
      </c>
      <c r="K17">
        <f>IFERROR(GETPIVOTDATA("Full Name",$J$4,"Age range","56 &lt;"),"0")</f>
        <v>9</v>
      </c>
      <c r="O17" s="16">
        <f>P12/P14</f>
        <v>0.16</v>
      </c>
      <c r="P17" s="17">
        <f t="shared" ref="P17:P18" si="0">1-O17</f>
        <v>0.84</v>
      </c>
      <c r="R17" s="11" t="s">
        <v>44</v>
      </c>
      <c r="S17">
        <f>IFERROR( GETPIVOTDATA("Full Name",$R$4,"Skills","Python"),"0")</f>
        <v>9</v>
      </c>
      <c r="U17" s="11" t="s">
        <v>119</v>
      </c>
      <c r="V17">
        <f>IFERROR(GETPIVOTDATA("Full Name",$U$4,"Region","Sindh"),"0")</f>
        <v>10</v>
      </c>
      <c r="X17" s="11" t="s">
        <v>39</v>
      </c>
      <c r="Y17" s="21">
        <f>IFERROR(GETPIVOTDATA("Performance Rating",$X$4,"Department","Operations"),"0")</f>
        <v>2.5555555555555554</v>
      </c>
    </row>
    <row r="18" spans="6:25">
      <c r="F18" s="11" t="s">
        <v>169</v>
      </c>
      <c r="G18" s="15">
        <f>SUM(G13,G14,G15,G16,G17)</f>
        <v>3104913</v>
      </c>
      <c r="H18" s="15">
        <f>SUM(H13:H17)</f>
        <v>487</v>
      </c>
      <c r="J18" s="11" t="s">
        <v>169</v>
      </c>
      <c r="K18">
        <f>SUM(K13:K17)</f>
        <v>50</v>
      </c>
      <c r="O18" s="16">
        <f>P13/P14</f>
        <v>0.38</v>
      </c>
      <c r="P18" s="17">
        <f t="shared" si="0"/>
        <v>0.62</v>
      </c>
      <c r="U18" s="11" t="s">
        <v>169</v>
      </c>
      <c r="V18">
        <f>SUM(V13:V17)</f>
        <v>50</v>
      </c>
      <c r="X18" s="11" t="s">
        <v>169</v>
      </c>
      <c r="Y18" s="22">
        <f>AVERAGE(Y13:Y17)</f>
        <v>3.4802020202020203</v>
      </c>
    </row>
    <row r="21" spans="6:25">
      <c r="J21" s="11" t="s">
        <v>104</v>
      </c>
      <c r="K21">
        <f>IFERROR(GETPIVOTDATA("Full Name",$J$4,"Gender","Male"),"0")</f>
        <v>25</v>
      </c>
      <c r="L21" s="16">
        <f>K21/SUM(K21:K22)</f>
        <v>0.5</v>
      </c>
      <c r="M21" s="17">
        <f>1-L21</f>
        <v>0.5</v>
      </c>
    </row>
    <row r="22" spans="6:25">
      <c r="J22" s="11" t="s">
        <v>108</v>
      </c>
      <c r="K22">
        <f>IFERROR(GETPIVOTDATA("Full Name",$J$4,"Gender","Female"),"0")</f>
        <v>25</v>
      </c>
      <c r="L22" s="16">
        <f>K22/SUM(K21:K22)</f>
        <v>0.5</v>
      </c>
      <c r="M22" s="17">
        <f>1-L22</f>
        <v>0.5</v>
      </c>
    </row>
    <row r="23" spans="6:25">
      <c r="J23" s="11" t="s">
        <v>175</v>
      </c>
      <c r="K23" s="19">
        <f>SUM(K21,K22)</f>
        <v>50</v>
      </c>
    </row>
    <row r="24" spans="6:25">
      <c r="K24" s="18"/>
    </row>
  </sheetData>
  <mergeCells count="7">
    <mergeCell ref="U2:V2"/>
    <mergeCell ref="X2:Y2"/>
    <mergeCell ref="B2:D2"/>
    <mergeCell ref="J2:M2"/>
    <mergeCell ref="O2:P2"/>
    <mergeCell ref="R2:S2"/>
    <mergeCell ref="F2:H2"/>
  </mergeCells>
  <pageMargins left="0.7" right="0.7" top="0.75" bottom="0.75" header="0.3" footer="0.3"/>
  <pageSetup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PivotTables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2026-08-09T17:37:36Z</dcterms:created>
  <dcterms:modified xsi:type="dcterms:W3CDTF">2026-08-18T08:22:00Z</dcterms:modified>
</cp:coreProperties>
</file>